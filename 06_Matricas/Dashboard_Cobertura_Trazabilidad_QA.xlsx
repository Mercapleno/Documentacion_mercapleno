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Matriz de Trazabilidad" sheetId="2" r:id="rId5"/>
    <sheet state="visible" name="Cobertura de Requisitos" sheetId="3" r:id="rId6"/>
    <sheet state="visible" name="Checklist QA" sheetId="4" r:id="rId7"/>
    <sheet state="visible" name="Metricas" sheetId="5" r:id="rId8"/>
  </sheets>
  <definedNames/>
  <calcPr/>
  <extLst>
    <ext uri="GoogleSheetsCustomDataVersion2">
      <go:sheetsCustomData xmlns:go="http://customooxmlschemas.google.com/" r:id="rId9" roundtripDataChecksum="1x0+Zh+zKjaTYJ5aE2bf1OcEqk8LChaoyIfwxfq1qY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======
ID#AAACE2c49xU
Unknown Author    (2026-08-05 15:38:03)
Actualizar estos valores manualmente desde los archivos de Ejecucion de Pruebas Manuales y el registro de defectos del proyecto.</t>
      </text>
    </comment>
  </commentList>
  <extLst>
    <ext uri="GoogleSheetsCustomDataVersion2">
      <go:sheetsCustomData xmlns:go="http://customooxmlschemas.google.com/" r:id="rId1" roundtripDataSignature="AMtx7midejeXm/BdnAudxz7Z8HWGdFv9uA=="/>
    </ext>
  </extLst>
</comments>
</file>

<file path=xl/sharedStrings.xml><?xml version="1.0" encoding="utf-8"?>
<sst xmlns="http://schemas.openxmlformats.org/spreadsheetml/2006/main" count="266" uniqueCount="161">
  <si>
    <t>MATRIZ DE TRAZABILIDAD: RF -&gt; CASOS -&gt; PRUEBAS -&gt; ESTADO</t>
  </si>
  <si>
    <t>MATRIZ DE COBERTURA DE REQUISITOS FUNCIONALES</t>
  </si>
  <si>
    <t>CHECKLIST DE VERIFICACION DE COBERTURA POR REQUISITO</t>
  </si>
  <si>
    <t>Permite identificar de un vistazo si un requisito carece de algun tipo de prueba.</t>
  </si>
  <si>
    <t>RF</t>
  </si>
  <si>
    <t>Nota: los conteos de Casos / Pruebas Manuales / Unitarias / Integracion NO tienen relacion 1:1. Un caso funcional puede derivar en multiples pruebas tecnicas.</t>
  </si>
  <si>
    <t>Nombre del Requisito</t>
  </si>
  <si>
    <t>Casos de
Prueba</t>
  </si>
  <si>
    <t>Uso exclusivo de verificacion de cobertura (no reemplaza el registro detallado de casos de prueba).</t>
  </si>
  <si>
    <t>Pruebas
Manuales</t>
  </si>
  <si>
    <t>Modulo</t>
  </si>
  <si>
    <t>Pruebas
Unitarias</t>
  </si>
  <si>
    <t>Prioridad</t>
  </si>
  <si>
    <t>Pruebas de
Integracion</t>
  </si>
  <si>
    <t>Casos Funcionales
Disenados</t>
  </si>
  <si>
    <t>Estado Final</t>
  </si>
  <si>
    <t>Pruebas Manuales
Ejecutadas</t>
  </si>
  <si>
    <t>Caso(s) de
Prueba</t>
  </si>
  <si>
    <t>Observaciones (Vacios Detectados)</t>
  </si>
  <si>
    <t>Ejecucion
Manual</t>
  </si>
  <si>
    <t>Cobertura
(%)</t>
  </si>
  <si>
    <t>Estado</t>
  </si>
  <si>
    <t>RF-001</t>
  </si>
  <si>
    <t>Evidencia</t>
  </si>
  <si>
    <t>Registrar usuario</t>
  </si>
  <si>
    <t>Cobertura
Completa</t>
  </si>
  <si>
    <t>Observaciones</t>
  </si>
  <si>
    <t>Autenticacion</t>
  </si>
  <si>
    <t>Alta</t>
  </si>
  <si>
    <t>RF-002</t>
  </si>
  <si>
    <t>Verificar correo electrónico</t>
  </si>
  <si>
    <t>Si</t>
  </si>
  <si>
    <t>RF-003</t>
  </si>
  <si>
    <t>Reenviar código de verificación</t>
  </si>
  <si>
    <t>RF-004</t>
  </si>
  <si>
    <t>Inicar sesión</t>
  </si>
  <si>
    <t>RF-005</t>
  </si>
  <si>
    <t>Doble factor</t>
  </si>
  <si>
    <t>RF-006</t>
  </si>
  <si>
    <t>Verificar código de doble factor(2FA)</t>
  </si>
  <si>
    <t>RF-007</t>
  </si>
  <si>
    <t>Solicitar recuperación de contraseña</t>
  </si>
  <si>
    <t>RF-008</t>
  </si>
  <si>
    <t>Restablecer contraseña</t>
  </si>
  <si>
    <t>RF-009</t>
  </si>
  <si>
    <t>Cerrar sesión</t>
  </si>
  <si>
    <t>RF-010</t>
  </si>
  <si>
    <t>Gestion de Usuarios</t>
  </si>
  <si>
    <t>RF-011</t>
  </si>
  <si>
    <t>Consultar usuario</t>
  </si>
  <si>
    <t>RF-012</t>
  </si>
  <si>
    <t>Actualizar usuario</t>
  </si>
  <si>
    <t>Pendiente</t>
  </si>
  <si>
    <t>RF-013</t>
  </si>
  <si>
    <t>Eliminar usuario</t>
  </si>
  <si>
    <t>RF-014</t>
  </si>
  <si>
    <t>Consultar Catálogo de Productos</t>
  </si>
  <si>
    <t>Ventas</t>
  </si>
  <si>
    <t>RF-015</t>
  </si>
  <si>
    <t>Filtrado y Búsqueda de Productos</t>
  </si>
  <si>
    <t>RF-016</t>
  </si>
  <si>
    <t>Agregar Producto al Carrito.</t>
  </si>
  <si>
    <t>RF-017</t>
  </si>
  <si>
    <t>Visualizar Carrito de Compras</t>
  </si>
  <si>
    <t>RF-018</t>
  </si>
  <si>
    <t>Modificar Cantidades en Carrito</t>
  </si>
  <si>
    <t>Media</t>
  </si>
  <si>
    <t>RF-019</t>
  </si>
  <si>
    <t>Seleccionar Método de Pago</t>
  </si>
  <si>
    <t>RF-020</t>
  </si>
  <si>
    <t>Confirmar Compra</t>
  </si>
  <si>
    <t>No</t>
  </si>
  <si>
    <t>RF-021</t>
  </si>
  <si>
    <t xml:space="preserve"> Comprobante de Venta</t>
  </si>
  <si>
    <t>RF-022</t>
  </si>
  <si>
    <t>Registrar Producto</t>
  </si>
  <si>
    <t>Gestión de productos</t>
  </si>
  <si>
    <t>RF-023</t>
  </si>
  <si>
    <t>Listar / consultar productos</t>
  </si>
  <si>
    <t>RF-024</t>
  </si>
  <si>
    <t>Actualizar producto</t>
  </si>
  <si>
    <t>RF-025</t>
  </si>
  <si>
    <t>Deshabilitar  producto</t>
  </si>
  <si>
    <t>RF-026</t>
  </si>
  <si>
    <t xml:space="preserve">Reporte de ventas por mes </t>
  </si>
  <si>
    <t>Reportes y estadisticas</t>
  </si>
  <si>
    <t>RF-027</t>
  </si>
  <si>
    <t xml:space="preserve">Top productos </t>
  </si>
  <si>
    <t>RF-028</t>
  </si>
  <si>
    <t xml:space="preserve">Resumen general </t>
  </si>
  <si>
    <t>RF-029</t>
  </si>
  <si>
    <t>Exportar PDF</t>
  </si>
  <si>
    <t>RF-030</t>
  </si>
  <si>
    <t>Registro movimeintos</t>
  </si>
  <si>
    <t>Inventario</t>
  </si>
  <si>
    <t>DASHBOARD EJECUTIVO DE COBERTURA Y TRAZABILIDAD DE PRUEBAS</t>
  </si>
  <si>
    <t>RF-031</t>
  </si>
  <si>
    <t>Notificación al administrador por bajo stock</t>
  </si>
  <si>
    <t>Proyecto:</t>
  </si>
  <si>
    <t>Mercapleno - Sistema de Gestion de Ventas e Inventario</t>
  </si>
  <si>
    <t>Ultima actualizacion:</t>
  </si>
  <si>
    <t>RF-032</t>
  </si>
  <si>
    <t>Listar proveedores</t>
  </si>
  <si>
    <t>Gestión de proveedores</t>
  </si>
  <si>
    <t>INDICADORES CLAVE (KPI)</t>
  </si>
  <si>
    <t>RF-033</t>
  </si>
  <si>
    <t>Crear proveedores</t>
  </si>
  <si>
    <t>Total de Requisitos
Funcionales</t>
  </si>
  <si>
    <t>RF-034</t>
  </si>
  <si>
    <t>Actualizar proveedores</t>
  </si>
  <si>
    <t>Total de Pruebas
Unitarias</t>
  </si>
  <si>
    <t>Casos Pendientes
(Ejecucion)</t>
  </si>
  <si>
    <t>RF-035</t>
  </si>
  <si>
    <t>Eliminar proveedores</t>
  </si>
  <si>
    <t>Estado de Requisitos</t>
  </si>
  <si>
    <t>RF con Cobertura
de Pruebas</t>
  </si>
  <si>
    <t>Total de Pruebas
de Integracion</t>
  </si>
  <si>
    <t>Cobertura General (%)</t>
  </si>
  <si>
    <t>Completo</t>
  </si>
  <si>
    <t>RF Pendientes</t>
  </si>
  <si>
    <t>Casos Aprobados</t>
  </si>
  <si>
    <t>Cobertura Manual (%)</t>
  </si>
  <si>
    <t>Parcial</t>
  </si>
  <si>
    <t>Total de Casos
Funcionales</t>
  </si>
  <si>
    <t>Casos Fallidos</t>
  </si>
  <si>
    <t>Cobertura Unitaria (%)</t>
  </si>
  <si>
    <t>Total de Pruebas
Manuales Ejecutadas</t>
  </si>
  <si>
    <t>Casos Bloqueados</t>
  </si>
  <si>
    <t>Cobertura de Integracion (%)</t>
  </si>
  <si>
    <t>Pruebas por Tipo</t>
  </si>
  <si>
    <t>RESUMEN DE EJECUCION (ENTRADA MANUAL - tomar de Ejecucion de Pruebas / Registro de Defectos)</t>
  </si>
  <si>
    <t>Manual</t>
  </si>
  <si>
    <t>Casos Pendientes</t>
  </si>
  <si>
    <t>Defectos Encontrados</t>
  </si>
  <si>
    <t>Defectos Corregidos</t>
  </si>
  <si>
    <t>Unitaria</t>
  </si>
  <si>
    <t>Integracion</t>
  </si>
  <si>
    <t>GRAFICOS DE COBERTURA Y CALIDAD</t>
  </si>
  <si>
    <t>Aprobados</t>
  </si>
  <si>
    <t>Fallidos</t>
  </si>
  <si>
    <t>Datos base para graficos. No editar directamente.</t>
  </si>
  <si>
    <t>METRICAS DE COBERTURA Y CALIDAD</t>
  </si>
  <si>
    <t>COBERTURA POR MODULO</t>
  </si>
  <si>
    <t>Total RF</t>
  </si>
  <si>
    <t>RF Completos</t>
  </si>
  <si>
    <t>RF Parciales</t>
  </si>
  <si>
    <t>Cobertura (%)</t>
  </si>
  <si>
    <t>COBERTURA POR PRIORIDAD</t>
  </si>
  <si>
    <t>Baja</t>
  </si>
  <si>
    <t>INDICADORES GLOBALES</t>
  </si>
  <si>
    <t>% RF Cubiertos (Completo + Parcial)</t>
  </si>
  <si>
    <t>% RF Pendientes</t>
  </si>
  <si>
    <t>Cantidad de Pruebas Manuales</t>
  </si>
  <si>
    <t>Cantidad de Pruebas Unitarias</t>
  </si>
  <si>
    <t>Cantidad de Pruebas de Integracion</t>
  </si>
  <si>
    <t>Total de Ejecuciones (Manual+Unit.+Integ.)</t>
  </si>
  <si>
    <t>Numero de Defectos Encontrados</t>
  </si>
  <si>
    <t>Numero de Defectos Corregidos</t>
  </si>
  <si>
    <t>COBERTURA POR TIPO DE PRUEBA</t>
  </si>
  <si>
    <t>Leyenda:</t>
  </si>
  <si>
    <t>Texto azul = dato de entrada manual (editable). Columnas I y J se calculan automaticamente.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</si>
</sst>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5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A5A5A"/>
      <name val="Arial"/>
    </font>
    <font>
      <b/>
      <sz val="10.0"/>
      <color rgb="FFFFFFFF"/>
      <name val="Arial"/>
    </font>
    <font>
      <b/>
      <sz val="10.0"/>
      <color rgb="FF1F3864"/>
      <name val="Arial"/>
    </font>
    <font>
      <color theme="1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0.0"/>
      <color rgb="FF000000"/>
      <name val="Arial"/>
    </font>
    <font>
      <sz val="11.0"/>
      <color theme="1"/>
      <name val="Calibri"/>
    </font>
    <font>
      <b/>
      <sz val="16.0"/>
      <color rgb="FFFFFFFF"/>
      <name val="Arial"/>
    </font>
    <font>
      <b/>
      <sz val="10.0"/>
      <color rgb="FF5A5A5A"/>
      <name val="Arial"/>
    </font>
    <font>
      <i/>
      <sz val="10.0"/>
      <color rgb="FF0000FF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14.0"/>
      <color rgb="FF1F3864"/>
      <name val="Arial"/>
    </font>
    <font>
      <b/>
      <sz val="14.0"/>
      <color rgb="FF9C6500"/>
      <name val="Arial"/>
    </font>
    <font>
      <sz val="9.0"/>
      <color rgb="FF000000"/>
      <name val="Arial"/>
    </font>
    <font>
      <b/>
      <sz val="14.0"/>
      <color rgb="FF9C0006"/>
      <name val="Arial"/>
    </font>
    <font>
      <b/>
      <sz val="14.0"/>
      <color rgb="FF006100"/>
      <name val="Arial"/>
    </font>
    <font>
      <b/>
      <sz val="10.0"/>
      <color rgb="FF44546A"/>
      <name val="Arial"/>
    </font>
    <font>
      <b/>
      <sz val="12.0"/>
      <color rgb="FF0000FF"/>
      <name val="Arial"/>
    </font>
    <font>
      <i/>
      <sz val="8.0"/>
      <color rgb="FF5A5A5A"/>
      <name val="Arial"/>
    </font>
    <font>
      <b/>
      <sz val="9.0"/>
      <color rgb="FF5A5A5A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2E5496"/>
        <bgColor rgb="FF2E5496"/>
      </patternFill>
    </fill>
    <fill>
      <patternFill patternType="solid">
        <fgColor rgb="FFD9E2F3"/>
        <bgColor rgb="FFD9E2F3"/>
      </patternFill>
    </fill>
    <fill>
      <patternFill patternType="solid">
        <fgColor rgb="FF44546A"/>
        <bgColor rgb="FF44546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/>
      <right/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shrinkToFit="0" vertical="bottom" wrapText="1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vertical="center"/>
    </xf>
    <xf borderId="4" fillId="0" fontId="8" numFmtId="1" xfId="0" applyAlignment="1" applyBorder="1" applyFont="1" applyNumberFormat="1">
      <alignment horizontal="center" vertical="center"/>
    </xf>
    <xf borderId="4" fillId="0" fontId="8" numFmtId="1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9" numFmtId="9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left" vertical="center"/>
    </xf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readingOrder="0" shrinkToFit="0" vertical="bottom" wrapText="1"/>
    </xf>
    <xf borderId="4" fillId="0" fontId="10" numFmtId="0" xfId="0" applyAlignment="1" applyBorder="1" applyFont="1">
      <alignment horizontal="center" readingOrder="0"/>
    </xf>
    <xf borderId="4" fillId="0" fontId="10" numFmtId="0" xfId="0" applyBorder="1" applyFont="1"/>
    <xf borderId="0" fillId="0" fontId="6" numFmtId="0" xfId="0" applyAlignment="1" applyFont="1">
      <alignment shrinkToFit="0" vertical="bottom" wrapText="1"/>
    </xf>
    <xf borderId="1" fillId="2" fontId="11" numFmtId="0" xfId="0" applyAlignment="1" applyBorder="1" applyFont="1">
      <alignment horizontal="left" vertical="center"/>
    </xf>
    <xf borderId="0" fillId="0" fontId="12" numFmtId="0" xfId="0" applyFont="1"/>
    <xf borderId="0" fillId="0" fontId="13" numFmtId="0" xfId="0" applyFont="1"/>
    <xf borderId="0" fillId="0" fontId="12" numFmtId="0" xfId="0" applyAlignment="1" applyFont="1">
      <alignment horizontal="right"/>
    </xf>
    <xf borderId="0" fillId="0" fontId="5" numFmtId="164" xfId="0" applyFont="1" applyNumberFormat="1"/>
    <xf borderId="1" fillId="4" fontId="14" numFmtId="0" xfId="0" applyAlignment="1" applyBorder="1" applyFill="1" applyFont="1">
      <alignment horizontal="left" vertical="center"/>
    </xf>
    <xf borderId="4" fillId="4" fontId="15" numFmtId="0" xfId="0" applyAlignment="1" applyBorder="1" applyFont="1">
      <alignment horizontal="left" shrinkToFit="0" vertical="center" wrapText="1"/>
    </xf>
    <xf borderId="6" fillId="5" fontId="16" numFmtId="1" xfId="0" applyAlignment="1" applyBorder="1" applyFill="1" applyFont="1" applyNumberFormat="1">
      <alignment horizontal="center" vertical="center"/>
    </xf>
    <xf borderId="6" fillId="5" fontId="17" numFmtId="1" xfId="0" applyAlignment="1" applyBorder="1" applyFont="1" applyNumberFormat="1">
      <alignment horizontal="center" vertical="center"/>
    </xf>
    <xf borderId="1" fillId="6" fontId="15" numFmtId="0" xfId="0" applyAlignment="1" applyBorder="1" applyFill="1" applyFont="1">
      <alignment horizontal="left" vertical="center"/>
    </xf>
    <xf borderId="6" fillId="5" fontId="16" numFmtId="9" xfId="0" applyAlignment="1" applyBorder="1" applyFont="1" applyNumberFormat="1">
      <alignment horizontal="center" vertical="center"/>
    </xf>
    <xf borderId="4" fillId="0" fontId="18" numFmtId="0" xfId="0" applyAlignment="1" applyBorder="1" applyFont="1">
      <alignment horizontal="left" vertical="center"/>
    </xf>
    <xf borderId="4" fillId="0" fontId="18" numFmtId="1" xfId="0" applyAlignment="1" applyBorder="1" applyFont="1" applyNumberFormat="1">
      <alignment horizontal="center" vertical="center"/>
    </xf>
    <xf borderId="6" fillId="5" fontId="19" numFmtId="1" xfId="0" applyAlignment="1" applyBorder="1" applyFont="1" applyNumberFormat="1">
      <alignment horizontal="center" vertical="center"/>
    </xf>
    <xf borderId="6" fillId="5" fontId="20" numFmtId="1" xfId="0" applyAlignment="1" applyBorder="1" applyFont="1" applyNumberFormat="1">
      <alignment horizontal="center" vertical="center"/>
    </xf>
    <xf borderId="1" fillId="6" fontId="14" numFmtId="0" xfId="0" applyAlignment="1" applyBorder="1" applyFont="1">
      <alignment horizontal="left" vertical="center"/>
    </xf>
    <xf borderId="4" fillId="7" fontId="21" numFmtId="0" xfId="0" applyAlignment="1" applyBorder="1" applyFill="1" applyFont="1">
      <alignment horizontal="center" shrinkToFit="0" vertical="center" wrapText="1"/>
    </xf>
    <xf borderId="4" fillId="8" fontId="22" numFmtId="1" xfId="0" applyAlignment="1" applyBorder="1" applyFill="1" applyFont="1" applyNumberFormat="1">
      <alignment horizontal="center" vertical="center"/>
    </xf>
    <xf borderId="7" fillId="4" fontId="14" numFmtId="0" xfId="0" applyAlignment="1" applyBorder="1" applyFont="1">
      <alignment horizontal="left" vertical="center"/>
    </xf>
    <xf borderId="0" fillId="0" fontId="23" numFmtId="0" xfId="0" applyFont="1"/>
    <xf borderId="4" fillId="0" fontId="9" numFmtId="0" xfId="0" applyAlignment="1" applyBorder="1" applyFont="1">
      <alignment horizontal="left" vertical="center"/>
    </xf>
    <xf borderId="4" fillId="0" fontId="7" numFmtId="1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left" readingOrder="0" vertical="center"/>
    </xf>
    <xf borderId="4" fillId="7" fontId="9" numFmtId="0" xfId="0" applyAlignment="1" applyBorder="1" applyFont="1">
      <alignment horizontal="left" vertical="center"/>
    </xf>
    <xf borderId="8" fillId="0" fontId="5" numFmtId="9" xfId="0" applyAlignment="1" applyBorder="1" applyFont="1" applyNumberFormat="1">
      <alignment horizontal="center" vertical="center"/>
    </xf>
    <xf borderId="9" fillId="0" fontId="2" numFmtId="0" xfId="0" applyBorder="1" applyFont="1"/>
    <xf borderId="8" fillId="0" fontId="5" numFmtId="1" xfId="0" applyAlignment="1" applyBorder="1" applyFont="1" applyNumberFormat="1">
      <alignment horizontal="center" vertical="center"/>
    </xf>
    <xf borderId="4" fillId="0" fontId="5" numFmtId="9" xfId="0" applyAlignment="1" applyBorder="1" applyFont="1" applyNumberFormat="1">
      <alignment horizontal="center" vertical="center"/>
    </xf>
    <xf borderId="0" fillId="0" fontId="24" numFmtId="0" xfId="0" applyFont="1"/>
  </cellXfs>
  <cellStyles count="1">
    <cellStyle xfId="0" name="Normal" builtinId="0"/>
  </cellStyles>
  <dxfs count="3"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6500"/>
      </font>
      <fill>
        <patternFill patternType="solid">
          <fgColor rgb="FFFFEB9C"/>
          <bgColor rgb="FFFFEB9C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Cobertura por Modulo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Cobertura (%)</c:v>
          </c:tx>
          <c:spPr>
            <a:solidFill>
              <a:srgbClr val="4472C4"/>
            </a:solidFill>
            <a:ln cmpd="sng">
              <a:noFill/>
            </a:ln>
          </c:spPr>
          <c:cat>
            <c:strRef>
              <c:f>Metricas!$A$5:$A$11</c:f>
            </c:strRef>
          </c:cat>
          <c:val>
            <c:numRef>
              <c:f>Metricas!$F$5:$F$10</c:f>
              <c:numCache/>
            </c:numRef>
          </c:val>
        </c:ser>
        <c:axId val="1291572433"/>
        <c:axId val="837331150"/>
      </c:barChart>
      <c:catAx>
        <c:axId val="1291572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37331150"/>
      </c:catAx>
      <c:valAx>
        <c:axId val="83733115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91572433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Casos Aprobados vs Fallidos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Dashboard!$L$15</c:f>
            </c:strRef>
          </c:tx>
          <c:spPr>
            <a:solidFill>
              <a:srgbClr val="006100"/>
            </a:solidFill>
            <a:ln cmpd="sng">
              <a:noFill/>
            </a:ln>
          </c:spPr>
          <c:cat>
            <c:strRef>
              <c:f>Dashboard!$K$16:$K$17</c:f>
            </c:strRef>
          </c:cat>
          <c:val>
            <c:numRef>
              <c:f>Dashboard!$L$16:$L$17</c:f>
              <c:numCache/>
            </c:numRef>
          </c:val>
        </c:ser>
        <c:axId val="1665109921"/>
        <c:axId val="1501356202"/>
      </c:barChart>
      <c:catAx>
        <c:axId val="1665109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01356202"/>
      </c:catAx>
      <c:valAx>
        <c:axId val="15013562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65109921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Distribucion del Estado de los Requisitos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Dashboard!$L$5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Dashboard!$K$6:$K$8</c:f>
            </c:strRef>
          </c:cat>
          <c:val>
            <c:numRef>
              <c:f>Dashboard!$L$6:$L$8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Cantidad de Pruebas por Tipo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Dashboard!$L$10</c:f>
            </c:strRef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Dashboard!$K$11:$K$13</c:f>
            </c:strRef>
          </c:cat>
          <c:val>
            <c:numRef>
              <c:f>Dashboard!$L$11:$L$13</c:f>
              <c:numCache/>
            </c:numRef>
          </c:val>
        </c:ser>
        <c:axId val="1298163066"/>
        <c:axId val="1938678201"/>
      </c:barChart>
      <c:catAx>
        <c:axId val="1298163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38678201"/>
      </c:catAx>
      <c:valAx>
        <c:axId val="19386782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98163066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Cobertura por Requisito Funcional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Cobertura
(%)</c:v>
          </c:tx>
          <c:spPr>
            <a:solidFill>
              <a:srgbClr val="4472C4"/>
            </a:solidFill>
            <a:ln cmpd="sng">
              <a:noFill/>
            </a:ln>
          </c:spPr>
          <c:cat>
            <c:strRef>
              <c:f>'Cobertura de Requisitos'!$A$4:$A$19</c:f>
            </c:strRef>
          </c:cat>
          <c:val>
            <c:numRef>
              <c:f>'Cobertura de Requisitos'!$I$4:$I$19</c:f>
              <c:numCache/>
            </c:numRef>
          </c:val>
        </c:ser>
        <c:axId val="364128471"/>
        <c:axId val="1972218133"/>
      </c:barChart>
      <c:catAx>
        <c:axId val="364128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72218133"/>
      </c:catAx>
      <c:valAx>
        <c:axId val="197221813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64128471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0</xdr:rowOff>
    </xdr:from>
    <xdr:ext cx="5905500" cy="3581400"/>
    <xdr:graphicFrame>
      <xdr:nvGraphicFramePr>
        <xdr:cNvPr id="19998416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16</xdr:row>
      <xdr:rowOff>0</xdr:rowOff>
    </xdr:from>
    <xdr:ext cx="5133975" cy="3581400"/>
    <xdr:graphicFrame>
      <xdr:nvGraphicFramePr>
        <xdr:cNvPr id="31262583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33</xdr:row>
      <xdr:rowOff>0</xdr:rowOff>
    </xdr:from>
    <xdr:ext cx="5181600" cy="3581400"/>
    <xdr:graphicFrame>
      <xdr:nvGraphicFramePr>
        <xdr:cNvPr id="213606182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33</xdr:row>
      <xdr:rowOff>0</xdr:rowOff>
    </xdr:from>
    <xdr:ext cx="5133975" cy="3581400"/>
    <xdr:graphicFrame>
      <xdr:nvGraphicFramePr>
        <xdr:cNvPr id="104740622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50</xdr:row>
      <xdr:rowOff>0</xdr:rowOff>
    </xdr:from>
    <xdr:ext cx="10906125" cy="3762375"/>
    <xdr:graphicFrame>
      <xdr:nvGraphicFramePr>
        <xdr:cNvPr id="40768620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57"/>
    <col customWidth="1" min="2" max="2" width="34.0"/>
    <col customWidth="1" min="3" max="3" width="15.0"/>
    <col customWidth="1" min="4" max="4" width="16.14"/>
    <col customWidth="1" min="5" max="5" width="34.0"/>
    <col customWidth="1" min="6" max="6" width="15.0"/>
    <col customWidth="1" min="7" max="7" width="3.0"/>
    <col customWidth="1" min="8" max="8" width="34.0"/>
    <col customWidth="1" min="9" max="9" width="15.0"/>
    <col customWidth="1" min="10" max="10" width="3.0"/>
    <col customWidth="1" min="11" max="11" width="22.0"/>
    <col customWidth="1" min="12" max="12" width="12.0"/>
    <col customWidth="1" min="13" max="13" width="3.0"/>
    <col customWidth="1" min="14" max="26" width="8.71"/>
  </cols>
  <sheetData>
    <row r="1" ht="30.0" customHeight="1">
      <c r="A1" s="22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23" t="s">
        <v>98</v>
      </c>
      <c r="B2" s="24" t="s">
        <v>99</v>
      </c>
      <c r="G2" s="25" t="s">
        <v>100</v>
      </c>
      <c r="I2" s="26">
        <f>TODAY()</f>
        <v>46243</v>
      </c>
    </row>
    <row r="4" ht="19.5" customHeight="1">
      <c r="A4" s="27" t="s">
        <v>104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ht="30.75" customHeight="1">
      <c r="B5" s="28" t="s">
        <v>107</v>
      </c>
      <c r="C5" s="29">
        <f>COUNTA('Cobertura de Requisitos'!A4:A149)</f>
        <v>35</v>
      </c>
      <c r="E5" s="28" t="s">
        <v>110</v>
      </c>
      <c r="F5" s="29">
        <f>SUM('Cobertura de Requisitos'!G4:G149)</f>
        <v>8</v>
      </c>
      <c r="H5" s="28" t="s">
        <v>111</v>
      </c>
      <c r="I5" s="30">
        <f>E13</f>
        <v>5</v>
      </c>
      <c r="K5" s="31" t="s">
        <v>114</v>
      </c>
      <c r="L5" s="3"/>
    </row>
    <row r="6">
      <c r="B6" s="28" t="s">
        <v>115</v>
      </c>
      <c r="C6" s="29">
        <f>COUNTIF('Cobertura de Requisitos'!J4:J149,"Completo")+COUNTIF('Cobertura de Requisitos'!J4:J149,"Parcial")</f>
        <v>15</v>
      </c>
      <c r="E6" s="28" t="s">
        <v>116</v>
      </c>
      <c r="F6" s="29">
        <f>SUM('Cobertura de Requisitos'!H4:H149)</f>
        <v>0</v>
      </c>
      <c r="H6" s="28" t="s">
        <v>117</v>
      </c>
      <c r="I6" s="32">
        <f>AVERAGE('Cobertura de Requisitos'!I4:I149)</f>
        <v>0.1214285714</v>
      </c>
      <c r="K6" s="33" t="s">
        <v>118</v>
      </c>
      <c r="L6" s="34">
        <f>COUNTIF('Cobertura de Requisitos'!J4:J149,"Completo")</f>
        <v>0</v>
      </c>
    </row>
    <row r="7">
      <c r="B7" s="28" t="s">
        <v>119</v>
      </c>
      <c r="C7" s="35">
        <f>COUNTIF('Cobertura de Requisitos'!J4:J149,"Pendiente")</f>
        <v>20</v>
      </c>
      <c r="E7" s="28" t="s">
        <v>120</v>
      </c>
      <c r="F7" s="36">
        <f>B13</f>
        <v>46</v>
      </c>
      <c r="H7" s="28" t="s">
        <v>121</v>
      </c>
      <c r="I7" s="32">
        <f>IFERROR(COUNTIFS('Cobertura de Requisitos'!F4:F149,"&gt;0")/$C$5,0)</f>
        <v>0.02857142857</v>
      </c>
      <c r="K7" s="33" t="s">
        <v>122</v>
      </c>
      <c r="L7" s="34">
        <f>COUNTIF('Cobertura de Requisitos'!J4:J149,"Parcial")</f>
        <v>15</v>
      </c>
    </row>
    <row r="8">
      <c r="B8" s="28" t="s">
        <v>123</v>
      </c>
      <c r="C8" s="29">
        <f>SUM('Cobertura de Requisitos'!E4:E149)</f>
        <v>86</v>
      </c>
      <c r="E8" s="28" t="s">
        <v>124</v>
      </c>
      <c r="F8" s="35">
        <f>C13</f>
        <v>6</v>
      </c>
      <c r="H8" s="28" t="s">
        <v>125</v>
      </c>
      <c r="I8" s="32">
        <f>IFERROR(COUNTIFS('Cobertura de Requisitos'!G4:G149,"&gt;0")/$C$5,0)</f>
        <v>0.02857142857</v>
      </c>
      <c r="K8" s="33" t="s">
        <v>52</v>
      </c>
      <c r="L8" s="34">
        <f>COUNTIF('Cobertura de Requisitos'!J4:J149,"Pendiente")</f>
        <v>20</v>
      </c>
    </row>
    <row r="9" ht="30.0" customHeight="1">
      <c r="B9" s="28" t="s">
        <v>126</v>
      </c>
      <c r="C9" s="29">
        <f>SUM('Cobertura de Requisitos'!F4:F149)</f>
        <v>8</v>
      </c>
      <c r="E9" s="28" t="s">
        <v>127</v>
      </c>
      <c r="F9" s="30">
        <f>D13</f>
        <v>3</v>
      </c>
      <c r="H9" s="28" t="s">
        <v>128</v>
      </c>
      <c r="I9" s="32">
        <f>IFERROR(COUNTIFS('Cobertura de Requisitos'!H4:H149,"&gt;0")/$C$5,0)</f>
        <v>0</v>
      </c>
    </row>
    <row r="10" ht="15.75" customHeight="1">
      <c r="K10" s="31" t="s">
        <v>129</v>
      </c>
      <c r="L10" s="3"/>
    </row>
    <row r="11">
      <c r="A11" s="37" t="s">
        <v>130</v>
      </c>
      <c r="B11" s="2"/>
      <c r="C11" s="2"/>
      <c r="D11" s="2"/>
      <c r="E11" s="2"/>
      <c r="F11" s="2"/>
      <c r="G11" s="2"/>
      <c r="H11" s="2"/>
      <c r="I11" s="3"/>
      <c r="K11" s="33" t="s">
        <v>131</v>
      </c>
      <c r="L11" s="34">
        <f>C9</f>
        <v>8</v>
      </c>
    </row>
    <row r="12">
      <c r="B12" s="38" t="s">
        <v>120</v>
      </c>
      <c r="C12" s="38" t="s">
        <v>124</v>
      </c>
      <c r="D12" s="38" t="s">
        <v>127</v>
      </c>
      <c r="E12" s="38" t="s">
        <v>132</v>
      </c>
      <c r="F12" s="38" t="s">
        <v>133</v>
      </c>
      <c r="G12" s="38" t="s">
        <v>134</v>
      </c>
      <c r="K12" s="33" t="s">
        <v>135</v>
      </c>
      <c r="L12" s="34">
        <f t="shared" ref="L12:L13" si="1">F5</f>
        <v>8</v>
      </c>
    </row>
    <row r="13">
      <c r="B13" s="39">
        <v>46.0</v>
      </c>
      <c r="C13" s="39">
        <v>6.0</v>
      </c>
      <c r="D13" s="39">
        <v>3.0</v>
      </c>
      <c r="E13" s="39">
        <v>5.0</v>
      </c>
      <c r="F13" s="39">
        <v>14.0</v>
      </c>
      <c r="G13" s="39">
        <v>11.0</v>
      </c>
      <c r="K13" s="33" t="s">
        <v>136</v>
      </c>
      <c r="L13" s="34">
        <f t="shared" si="1"/>
        <v>0</v>
      </c>
    </row>
    <row r="15" ht="19.5" customHeight="1">
      <c r="A15" s="40" t="s">
        <v>137</v>
      </c>
    </row>
    <row r="16">
      <c r="K16" s="33" t="s">
        <v>138</v>
      </c>
      <c r="L16" s="34">
        <f>B13</f>
        <v>46</v>
      </c>
    </row>
    <row r="17">
      <c r="K17" s="33" t="s">
        <v>139</v>
      </c>
      <c r="L17" s="34">
        <f>C13</f>
        <v>6</v>
      </c>
    </row>
    <row r="19">
      <c r="K19" s="41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K15:L15"/>
    <mergeCell ref="K19:M19"/>
    <mergeCell ref="A1:M1"/>
    <mergeCell ref="B2:F2"/>
    <mergeCell ref="G2:H2"/>
    <mergeCell ref="A4:M4"/>
    <mergeCell ref="K5:L5"/>
    <mergeCell ref="K10:L10"/>
    <mergeCell ref="A11:I11"/>
  </mergeCells>
  <conditionalFormatting sqref="I6:I9">
    <cfRule type="colorScale" priority="1">
      <colorScale>
        <cfvo type="formula" val="0"/>
        <cfvo type="formula" val="0.5"/>
        <cfvo type="formula" val="1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3.0"/>
    <col customWidth="1" min="3" max="3" width="14.0"/>
    <col customWidth="1" min="4" max="4" width="15.0"/>
    <col customWidth="1" min="5" max="5" width="14.0"/>
    <col customWidth="1" min="6" max="6" width="15.0"/>
    <col customWidth="1" min="7" max="7" width="13.0"/>
    <col customWidth="1" min="8" max="8" width="49.86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3</v>
      </c>
    </row>
    <row r="3" ht="30.0" customHeight="1">
      <c r="A3" s="5" t="s">
        <v>4</v>
      </c>
      <c r="B3" s="5" t="s">
        <v>6</v>
      </c>
      <c r="C3" s="5" t="s">
        <v>7</v>
      </c>
      <c r="D3" s="5" t="s">
        <v>9</v>
      </c>
      <c r="E3" s="5" t="s">
        <v>11</v>
      </c>
      <c r="F3" s="5" t="s">
        <v>13</v>
      </c>
      <c r="G3" s="5" t="s">
        <v>15</v>
      </c>
      <c r="H3" s="5" t="s">
        <v>18</v>
      </c>
    </row>
    <row r="4">
      <c r="A4" s="6" t="str">
        <f>IF('Cobertura de Requisitos'!A4="","",'Cobertura de Requisitos'!A4)</f>
        <v>RF-001</v>
      </c>
      <c r="B4" s="9" t="str">
        <f>IF($A4="","",'Cobertura de Requisitos'!B4)</f>
        <v>Registrar usuario</v>
      </c>
      <c r="C4" s="8" t="str">
        <f>IF($A4="","",IF('Cobertura de Requisitos'!E4&gt;0,"Si","No"))</f>
        <v>Si</v>
      </c>
      <c r="D4" s="8" t="str">
        <f>IF($A4="","",IF('Cobertura de Requisitos'!F4&gt;0,"Si","No"))</f>
        <v>Si</v>
      </c>
      <c r="E4" s="8" t="str">
        <f>IF($A4="","",IF('Cobertura de Requisitos'!G4&gt;0,"Si","No"))</f>
        <v>Si</v>
      </c>
      <c r="F4" s="8" t="str">
        <f>IF($A4="","",IF('Cobertura de Requisitos'!H4&gt;0,"Si","No"))</f>
        <v>No</v>
      </c>
      <c r="G4" s="12" t="str">
        <f>IF($A4="","",'Cobertura de Requisitos'!J4)</f>
        <v>Parcial</v>
      </c>
      <c r="H4" s="9" t="str">
        <f>IF($A4="","",IF('Cobertura de Requisitos'!J4="Pendiente","Sin cobertura - requiere pruebas",IF('Cobertura de Requisitos'!J4="Parcial","Cobertura incompleta - revisar pruebas faltantes","Cobertura completa")))</f>
        <v>Cobertura incompleta - revisar pruebas faltantes</v>
      </c>
    </row>
    <row r="5">
      <c r="A5" s="6" t="str">
        <f>IF('Cobertura de Requisitos'!A5="","",'Cobertura de Requisitos'!A5)</f>
        <v>RF-002</v>
      </c>
      <c r="B5" s="9" t="str">
        <f>IF($A5="","",'Cobertura de Requisitos'!B5)</f>
        <v>Verificar correo electrónico</v>
      </c>
      <c r="C5" s="8" t="str">
        <f>IF($A5="","",IF('Cobertura de Requisitos'!E5&gt;0,"Si","No"))</f>
        <v>Si</v>
      </c>
      <c r="D5" s="8" t="str">
        <f>IF($A5="","",IF('Cobertura de Requisitos'!F5&gt;0,"Si","No"))</f>
        <v>No</v>
      </c>
      <c r="E5" s="8" t="str">
        <f>IF($A5="","",IF('Cobertura de Requisitos'!G5&gt;0,"Si","No"))</f>
        <v>No</v>
      </c>
      <c r="F5" s="8" t="str">
        <f>IF($A5="","",IF('Cobertura de Requisitos'!H5&gt;0,"Si","No"))</f>
        <v>No</v>
      </c>
      <c r="G5" s="12" t="str">
        <f>IF($A5="","",'Cobertura de Requisitos'!J5)</f>
        <v>Parcial</v>
      </c>
      <c r="H5" s="9" t="str">
        <f>IF($A5="","",IF('Cobertura de Requisitos'!J5="Pendiente","Sin cobertura - requiere pruebas",IF('Cobertura de Requisitos'!J5="Parcial","Cobertura incompleta - revisar pruebas faltantes","Cobertura completa")))</f>
        <v>Cobertura incompleta - revisar pruebas faltantes</v>
      </c>
    </row>
    <row r="6">
      <c r="A6" s="6" t="str">
        <f>IF('Cobertura de Requisitos'!A6="","",'Cobertura de Requisitos'!A6)</f>
        <v>RF-003</v>
      </c>
      <c r="B6" s="9" t="str">
        <f>IF($A6="","",'Cobertura de Requisitos'!B6)</f>
        <v>Reenviar código de verificación</v>
      </c>
      <c r="C6" s="8" t="str">
        <f>IF($A6="","",IF('Cobertura de Requisitos'!E6&gt;0,"Si","No"))</f>
        <v>Si</v>
      </c>
      <c r="D6" s="8" t="str">
        <f>IF($A6="","",IF('Cobertura de Requisitos'!F6&gt;0,"Si","No"))</f>
        <v>No</v>
      </c>
      <c r="E6" s="8" t="str">
        <f>IF($A6="","",IF('Cobertura de Requisitos'!G6&gt;0,"Si","No"))</f>
        <v>No</v>
      </c>
      <c r="F6" s="8" t="str">
        <f>IF($A6="","",IF('Cobertura de Requisitos'!H6&gt;0,"Si","No"))</f>
        <v>No</v>
      </c>
      <c r="G6" s="12" t="str">
        <f>IF($A6="","",'Cobertura de Requisitos'!J6)</f>
        <v>Parcial</v>
      </c>
      <c r="H6" s="9" t="str">
        <f>IF($A6="","",IF('Cobertura de Requisitos'!J6="Pendiente","Sin cobertura - requiere pruebas",IF('Cobertura de Requisitos'!J6="Parcial","Cobertura incompleta - revisar pruebas faltantes","Cobertura completa")))</f>
        <v>Cobertura incompleta - revisar pruebas faltantes</v>
      </c>
    </row>
    <row r="7">
      <c r="A7" s="6" t="str">
        <f>IF('Cobertura de Requisitos'!A7="","",'Cobertura de Requisitos'!A7)</f>
        <v>RF-004</v>
      </c>
      <c r="B7" s="9" t="str">
        <f>IF($A7="","",'Cobertura de Requisitos'!B7)</f>
        <v>Inicar sesión</v>
      </c>
      <c r="C7" s="8" t="str">
        <f>IF($A7="","",IF('Cobertura de Requisitos'!E7&gt;0,"Si","No"))</f>
        <v>Si</v>
      </c>
      <c r="D7" s="8" t="str">
        <f>IF($A7="","",IF('Cobertura de Requisitos'!F7&gt;0,"Si","No"))</f>
        <v>No</v>
      </c>
      <c r="E7" s="8" t="str">
        <f>IF($A7="","",IF('Cobertura de Requisitos'!G7&gt;0,"Si","No"))</f>
        <v>No</v>
      </c>
      <c r="F7" s="8" t="str">
        <f>IF($A7="","",IF('Cobertura de Requisitos'!H7&gt;0,"Si","No"))</f>
        <v>No</v>
      </c>
      <c r="G7" s="12" t="str">
        <f>IF($A7="","",'Cobertura de Requisitos'!J7)</f>
        <v>Parcial</v>
      </c>
      <c r="H7" s="9" t="str">
        <f>IF($A7="","",IF('Cobertura de Requisitos'!J7="Pendiente","Sin cobertura - requiere pruebas",IF('Cobertura de Requisitos'!J7="Parcial","Cobertura incompleta - revisar pruebas faltantes","Cobertura completa")))</f>
        <v>Cobertura incompleta - revisar pruebas faltantes</v>
      </c>
    </row>
    <row r="8">
      <c r="A8" s="6" t="str">
        <f>IF('Cobertura de Requisitos'!A8="","",'Cobertura de Requisitos'!A8)</f>
        <v>RF-005</v>
      </c>
      <c r="B8" s="9" t="str">
        <f>IF($A8="","",'Cobertura de Requisitos'!B8)</f>
        <v>Doble factor</v>
      </c>
      <c r="C8" s="8" t="str">
        <f>IF($A8="","",IF('Cobertura de Requisitos'!E8&gt;0,"Si","No"))</f>
        <v>Si</v>
      </c>
      <c r="D8" s="8" t="str">
        <f>IF($A8="","",IF('Cobertura de Requisitos'!F8&gt;0,"Si","No"))</f>
        <v>No</v>
      </c>
      <c r="E8" s="8" t="str">
        <f>IF($A8="","",IF('Cobertura de Requisitos'!G8&gt;0,"Si","No"))</f>
        <v>No</v>
      </c>
      <c r="F8" s="8" t="str">
        <f>IF($A8="","",IF('Cobertura de Requisitos'!H8&gt;0,"Si","No"))</f>
        <v>No</v>
      </c>
      <c r="G8" s="12" t="str">
        <f>IF($A8="","",'Cobertura de Requisitos'!J8)</f>
        <v>Parcial</v>
      </c>
      <c r="H8" s="9" t="str">
        <f>IF($A8="","",IF('Cobertura de Requisitos'!J8="Pendiente","Sin cobertura - requiere pruebas",IF('Cobertura de Requisitos'!J8="Parcial","Cobertura incompleta - revisar pruebas faltantes","Cobertura completa")))</f>
        <v>Cobertura incompleta - revisar pruebas faltantes</v>
      </c>
    </row>
    <row r="9">
      <c r="A9" s="6" t="str">
        <f>IF('Cobertura de Requisitos'!A9="","",'Cobertura de Requisitos'!A9)</f>
        <v>RF-006</v>
      </c>
      <c r="B9" s="9" t="str">
        <f>IF($A9="","",'Cobertura de Requisitos'!B9)</f>
        <v>Verificar código de doble factor(2FA)</v>
      </c>
      <c r="C9" s="8" t="str">
        <f>IF($A9="","",IF('Cobertura de Requisitos'!E9&gt;0,"Si","No"))</f>
        <v>Si</v>
      </c>
      <c r="D9" s="8" t="str">
        <f>IF($A9="","",IF('Cobertura de Requisitos'!F9&gt;0,"Si","No"))</f>
        <v>No</v>
      </c>
      <c r="E9" s="8" t="str">
        <f>IF($A9="","",IF('Cobertura de Requisitos'!G9&gt;0,"Si","No"))</f>
        <v>No</v>
      </c>
      <c r="F9" s="8" t="str">
        <f>IF($A9="","",IF('Cobertura de Requisitos'!H9&gt;0,"Si","No"))</f>
        <v>No</v>
      </c>
      <c r="G9" s="12" t="str">
        <f>IF($A9="","",'Cobertura de Requisitos'!J9)</f>
        <v>Parcial</v>
      </c>
      <c r="H9" s="9" t="str">
        <f>IF($A9="","",IF('Cobertura de Requisitos'!J9="Pendiente","Sin cobertura - requiere pruebas",IF('Cobertura de Requisitos'!J9="Parcial","Cobertura incompleta - revisar pruebas faltantes","Cobertura completa")))</f>
        <v>Cobertura incompleta - revisar pruebas faltantes</v>
      </c>
    </row>
    <row r="10">
      <c r="A10" s="6" t="str">
        <f>IF('Cobertura de Requisitos'!A10="","",'Cobertura de Requisitos'!A10)</f>
        <v>RF-007</v>
      </c>
      <c r="B10" s="9" t="str">
        <f>IF($A10="","",'Cobertura de Requisitos'!B10)</f>
        <v>Solicitar recuperación de contraseña</v>
      </c>
      <c r="C10" s="8" t="str">
        <f>IF($A10="","",IF('Cobertura de Requisitos'!E10&gt;0,"Si","No"))</f>
        <v>Si</v>
      </c>
      <c r="D10" s="8" t="str">
        <f>IF($A10="","",IF('Cobertura de Requisitos'!F10&gt;0,"Si","No"))</f>
        <v>No</v>
      </c>
      <c r="E10" s="8" t="str">
        <f>IF($A10="","",IF('Cobertura de Requisitos'!G10&gt;0,"Si","No"))</f>
        <v>No</v>
      </c>
      <c r="F10" s="8" t="str">
        <f>IF($A10="","",IF('Cobertura de Requisitos'!H10&gt;0,"Si","No"))</f>
        <v>No</v>
      </c>
      <c r="G10" s="12" t="str">
        <f>IF($A10="","",'Cobertura de Requisitos'!J10)</f>
        <v>Parcial</v>
      </c>
      <c r="H10" s="9" t="str">
        <f>IF($A10="","",IF('Cobertura de Requisitos'!J10="Pendiente","Sin cobertura - requiere pruebas",IF('Cobertura de Requisitos'!J10="Parcial","Cobertura incompleta - revisar pruebas faltantes","Cobertura completa")))</f>
        <v>Cobertura incompleta - revisar pruebas faltantes</v>
      </c>
    </row>
    <row r="11">
      <c r="A11" s="6" t="str">
        <f>IF('Cobertura de Requisitos'!A11="","",'Cobertura de Requisitos'!A11)</f>
        <v>RF-008</v>
      </c>
      <c r="B11" s="9" t="str">
        <f>IF($A11="","",'Cobertura de Requisitos'!B11)</f>
        <v>Restablecer contraseña</v>
      </c>
      <c r="C11" s="8" t="str">
        <f>IF($A11="","",IF('Cobertura de Requisitos'!E11&gt;0,"Si","No"))</f>
        <v>Si</v>
      </c>
      <c r="D11" s="8" t="str">
        <f>IF($A11="","",IF('Cobertura de Requisitos'!F11&gt;0,"Si","No"))</f>
        <v>No</v>
      </c>
      <c r="E11" s="8" t="str">
        <f>IF($A11="","",IF('Cobertura de Requisitos'!G11&gt;0,"Si","No"))</f>
        <v>No</v>
      </c>
      <c r="F11" s="8" t="str">
        <f>IF($A11="","",IF('Cobertura de Requisitos'!H11&gt;0,"Si","No"))</f>
        <v>No</v>
      </c>
      <c r="G11" s="12" t="str">
        <f>IF($A11="","",'Cobertura de Requisitos'!J11)</f>
        <v>Parcial</v>
      </c>
      <c r="H11" s="9" t="str">
        <f>IF($A11="","",IF('Cobertura de Requisitos'!J11="Pendiente","Sin cobertura - requiere pruebas",IF('Cobertura de Requisitos'!J11="Parcial","Cobertura incompleta - revisar pruebas faltantes","Cobertura completa")))</f>
        <v>Cobertura incompleta - revisar pruebas faltantes</v>
      </c>
    </row>
    <row r="12">
      <c r="A12" s="6" t="str">
        <f>IF('Cobertura de Requisitos'!A12="","",'Cobertura de Requisitos'!A12)</f>
        <v>RF-009</v>
      </c>
      <c r="B12" s="9" t="str">
        <f>IF($A12="","",'Cobertura de Requisitos'!B12)</f>
        <v>Cerrar sesión</v>
      </c>
      <c r="C12" s="8" t="str">
        <f>IF($A12="","",IF('Cobertura de Requisitos'!E12&gt;0,"Si","No"))</f>
        <v>Si</v>
      </c>
      <c r="D12" s="8" t="str">
        <f>IF($A12="","",IF('Cobertura de Requisitos'!F12&gt;0,"Si","No"))</f>
        <v>No</v>
      </c>
      <c r="E12" s="8" t="str">
        <f>IF($A12="","",IF('Cobertura de Requisitos'!G12&gt;0,"Si","No"))</f>
        <v>No</v>
      </c>
      <c r="F12" s="8" t="str">
        <f>IF($A12="","",IF('Cobertura de Requisitos'!H12&gt;0,"Si","No"))</f>
        <v>No</v>
      </c>
      <c r="G12" s="12" t="str">
        <f>IF($A12="","",'Cobertura de Requisitos'!J12)</f>
        <v>Parcial</v>
      </c>
      <c r="H12" s="9" t="str">
        <f>IF($A12="","",IF('Cobertura de Requisitos'!J12="Pendiente","Sin cobertura - requiere pruebas",IF('Cobertura de Requisitos'!J12="Parcial","Cobertura incompleta - revisar pruebas faltantes","Cobertura completa")))</f>
        <v>Cobertura incompleta - revisar pruebas faltantes</v>
      </c>
    </row>
    <row r="13">
      <c r="A13" s="6" t="str">
        <f>IF('Cobertura de Requisitos'!A13="","",'Cobertura de Requisitos'!A13)</f>
        <v>RF-010</v>
      </c>
      <c r="B13" s="9" t="str">
        <f>IF($A13="","",'Cobertura de Requisitos'!B13)</f>
        <v>Registrar usuario</v>
      </c>
      <c r="C13" s="8" t="str">
        <f>IF($A13="","",IF('Cobertura de Requisitos'!E13&gt;0,"Si","No"))</f>
        <v>Si</v>
      </c>
      <c r="D13" s="8" t="str">
        <f>IF($A13="","",IF('Cobertura de Requisitos'!F13&gt;0,"Si","No"))</f>
        <v>No</v>
      </c>
      <c r="E13" s="8" t="str">
        <f>IF($A13="","",IF('Cobertura de Requisitos'!G13&gt;0,"Si","No"))</f>
        <v>No</v>
      </c>
      <c r="F13" s="8" t="str">
        <f>IF($A13="","",IF('Cobertura de Requisitos'!H13&gt;0,"Si","No"))</f>
        <v>No</v>
      </c>
      <c r="G13" s="12" t="str">
        <f>IF($A13="","",'Cobertura de Requisitos'!J13)</f>
        <v>Parcial</v>
      </c>
      <c r="H13" s="9" t="str">
        <f>IF($A13="","",IF('Cobertura de Requisitos'!J13="Pendiente","Sin cobertura - requiere pruebas",IF('Cobertura de Requisitos'!J13="Parcial","Cobertura incompleta - revisar pruebas faltantes","Cobertura completa")))</f>
        <v>Cobertura incompleta - revisar pruebas faltantes</v>
      </c>
    </row>
    <row r="14">
      <c r="A14" s="6" t="str">
        <f>IF('Cobertura de Requisitos'!A14="","",'Cobertura de Requisitos'!A14)</f>
        <v>RF-011</v>
      </c>
      <c r="B14" s="9" t="str">
        <f>IF($A14="","",'Cobertura de Requisitos'!B14)</f>
        <v>Consultar usuario</v>
      </c>
      <c r="C14" s="8" t="str">
        <f>IF($A14="","",IF('Cobertura de Requisitos'!E14&gt;0,"Si","No"))</f>
        <v>Si</v>
      </c>
      <c r="D14" s="8" t="str">
        <f>IF($A14="","",IF('Cobertura de Requisitos'!F14&gt;0,"Si","No"))</f>
        <v>No</v>
      </c>
      <c r="E14" s="8" t="str">
        <f>IF($A14="","",IF('Cobertura de Requisitos'!G14&gt;0,"Si","No"))</f>
        <v>No</v>
      </c>
      <c r="F14" s="8" t="str">
        <f>IF($A14="","",IF('Cobertura de Requisitos'!H14&gt;0,"Si","No"))</f>
        <v>No</v>
      </c>
      <c r="G14" s="12" t="str">
        <f>IF($A14="","",'Cobertura de Requisitos'!J14)</f>
        <v>Parcial</v>
      </c>
      <c r="H14" s="9" t="str">
        <f>IF($A14="","",IF('Cobertura de Requisitos'!J14="Pendiente","Sin cobertura - requiere pruebas",IF('Cobertura de Requisitos'!J14="Parcial","Cobertura incompleta - revisar pruebas faltantes","Cobertura completa")))</f>
        <v>Cobertura incompleta - revisar pruebas faltantes</v>
      </c>
    </row>
    <row r="15">
      <c r="A15" s="6" t="str">
        <f>IF('Cobertura de Requisitos'!A15="","",'Cobertura de Requisitos'!A15)</f>
        <v>RF-012</v>
      </c>
      <c r="B15" s="9" t="str">
        <f>IF($A15="","",'Cobertura de Requisitos'!B15)</f>
        <v>Actualizar usuario</v>
      </c>
      <c r="C15" s="8" t="str">
        <f>IF($A15="","",IF('Cobertura de Requisitos'!E15&gt;0,"Si","No"))</f>
        <v>Si</v>
      </c>
      <c r="D15" s="8" t="str">
        <f>IF($A15="","",IF('Cobertura de Requisitos'!F15&gt;0,"Si","No"))</f>
        <v>No</v>
      </c>
      <c r="E15" s="8" t="str">
        <f>IF($A15="","",IF('Cobertura de Requisitos'!G15&gt;0,"Si","No"))</f>
        <v>No</v>
      </c>
      <c r="F15" s="8" t="str">
        <f>IF($A15="","",IF('Cobertura de Requisitos'!H15&gt;0,"Si","No"))</f>
        <v>No</v>
      </c>
      <c r="G15" s="12" t="str">
        <f>IF($A15="","",'Cobertura de Requisitos'!J15)</f>
        <v>Parcial</v>
      </c>
      <c r="H15" s="9" t="str">
        <f>IF($A15="","",IF('Cobertura de Requisitos'!J15="Pendiente","Sin cobertura - requiere pruebas",IF('Cobertura de Requisitos'!J15="Parcial","Cobertura incompleta - revisar pruebas faltantes","Cobertura completa")))</f>
        <v>Cobertura incompleta - revisar pruebas faltantes</v>
      </c>
    </row>
    <row r="16">
      <c r="A16" s="6" t="str">
        <f>IF('Cobertura de Requisitos'!A16="","",'Cobertura de Requisitos'!A16)</f>
        <v>RF-013</v>
      </c>
      <c r="B16" s="9" t="str">
        <f>IF($A16="","",'Cobertura de Requisitos'!B16)</f>
        <v>Eliminar usuario</v>
      </c>
      <c r="C16" s="8" t="str">
        <f>IF($A16="","",IF('Cobertura de Requisitos'!E16&gt;0,"Si","No"))</f>
        <v>Si</v>
      </c>
      <c r="D16" s="8" t="str">
        <f>IF($A16="","",IF('Cobertura de Requisitos'!F16&gt;0,"Si","No"))</f>
        <v>No</v>
      </c>
      <c r="E16" s="8" t="str">
        <f>IF($A16="","",IF('Cobertura de Requisitos'!G16&gt;0,"Si","No"))</f>
        <v>No</v>
      </c>
      <c r="F16" s="8" t="str">
        <f>IF($A16="","",IF('Cobertura de Requisitos'!H16&gt;0,"Si","No"))</f>
        <v>No</v>
      </c>
      <c r="G16" s="12" t="str">
        <f>IF($A16="","",'Cobertura de Requisitos'!J16)</f>
        <v>Parcial</v>
      </c>
      <c r="H16" s="9" t="str">
        <f>IF($A16="","",IF('Cobertura de Requisitos'!J16="Pendiente","Sin cobertura - requiere pruebas",IF('Cobertura de Requisitos'!J16="Parcial","Cobertura incompleta - revisar pruebas faltantes","Cobertura completa")))</f>
        <v>Cobertura incompleta - revisar pruebas faltantes</v>
      </c>
    </row>
    <row r="17">
      <c r="A17" s="6" t="str">
        <f>IF('Cobertura de Requisitos'!A17="","",'Cobertura de Requisitos'!A17)</f>
        <v>RF-014</v>
      </c>
      <c r="B17" s="9" t="str">
        <f>IF($A17="","",'Cobertura de Requisitos'!B17)</f>
        <v>Consultar Catálogo de Productos</v>
      </c>
      <c r="C17" s="8" t="str">
        <f>IF($A17="","",IF('Cobertura de Requisitos'!E17&gt;0,"Si","No"))</f>
        <v>Si</v>
      </c>
      <c r="D17" s="8" t="str">
        <f>IF($A17="","",IF('Cobertura de Requisitos'!F17&gt;0,"Si","No"))</f>
        <v>No</v>
      </c>
      <c r="E17" s="8" t="str">
        <f>IF($A17="","",IF('Cobertura de Requisitos'!G17&gt;0,"Si","No"))</f>
        <v>No</v>
      </c>
      <c r="F17" s="8" t="str">
        <f>IF($A17="","",IF('Cobertura de Requisitos'!H17&gt;0,"Si","No"))</f>
        <v>No</v>
      </c>
      <c r="G17" s="12" t="str">
        <f>IF($A17="","",'Cobertura de Requisitos'!J17)</f>
        <v>Parcial</v>
      </c>
      <c r="H17" s="9" t="str">
        <f>IF($A17="","",IF('Cobertura de Requisitos'!J17="Pendiente","Sin cobertura - requiere pruebas",IF('Cobertura de Requisitos'!J17="Parcial","Cobertura incompleta - revisar pruebas faltantes","Cobertura completa")))</f>
        <v>Cobertura incompleta - revisar pruebas faltantes</v>
      </c>
    </row>
    <row r="18">
      <c r="A18" s="6" t="str">
        <f>IF('Cobertura de Requisitos'!A18="","",'Cobertura de Requisitos'!A18)</f>
        <v>RF-015</v>
      </c>
      <c r="B18" s="9" t="str">
        <f>IF($A18="","",'Cobertura de Requisitos'!B18)</f>
        <v>Filtrado y Búsqueda de Productos</v>
      </c>
      <c r="C18" s="8" t="str">
        <f>IF($A18="","",IF('Cobertura de Requisitos'!E18&gt;0,"Si","No"))</f>
        <v>No</v>
      </c>
      <c r="D18" s="8" t="str">
        <f>IF($A18="","",IF('Cobertura de Requisitos'!F18&gt;0,"Si","No"))</f>
        <v>No</v>
      </c>
      <c r="E18" s="8" t="str">
        <f>IF($A18="","",IF('Cobertura de Requisitos'!G18&gt;0,"Si","No"))</f>
        <v>No</v>
      </c>
      <c r="F18" s="8" t="str">
        <f>IF($A18="","",IF('Cobertura de Requisitos'!H18&gt;0,"Si","No"))</f>
        <v>No</v>
      </c>
      <c r="G18" s="12" t="str">
        <f>IF($A18="","",'Cobertura de Requisitos'!J18)</f>
        <v>Pendiente</v>
      </c>
      <c r="H18" s="9" t="str">
        <f>IF($A18="","",IF('Cobertura de Requisitos'!J18="Pendiente","Sin cobertura - requiere pruebas",IF('Cobertura de Requisitos'!J18="Parcial","Cobertura incompleta - revisar pruebas faltantes","Cobertura completa")))</f>
        <v>Sin cobertura - requiere pruebas</v>
      </c>
    </row>
    <row r="19">
      <c r="A19" s="6" t="str">
        <f>IF('Cobertura de Requisitos'!A19="","",'Cobertura de Requisitos'!A19)</f>
        <v>RF-016</v>
      </c>
      <c r="B19" s="9" t="str">
        <f>IF($A19="","",'Cobertura de Requisitos'!B19)</f>
        <v>Agregar Producto al Carrito.</v>
      </c>
      <c r="C19" s="8" t="str">
        <f>IF($A19="","",IF('Cobertura de Requisitos'!E19&gt;0,"Si","No"))</f>
        <v>Si</v>
      </c>
      <c r="D19" s="8" t="str">
        <f>IF($A19="","",IF('Cobertura de Requisitos'!F19&gt;0,"Si","No"))</f>
        <v>No</v>
      </c>
      <c r="E19" s="8" t="str">
        <f>IF($A19="","",IF('Cobertura de Requisitos'!G19&gt;0,"Si","No"))</f>
        <v>No</v>
      </c>
      <c r="F19" s="8" t="str">
        <f>IF($A19="","",IF('Cobertura de Requisitos'!H19&gt;0,"Si","No"))</f>
        <v>No</v>
      </c>
      <c r="G19" s="12" t="str">
        <f>IF($A19="","",'Cobertura de Requisitos'!J19)</f>
        <v>Parcial</v>
      </c>
      <c r="H19" s="9" t="str">
        <f>IF($A19="","",IF('Cobertura de Requisitos'!J19="Pendiente","Sin cobertura - requiere pruebas",IF('Cobertura de Requisitos'!J19="Parcial","Cobertura incompleta - revisar pruebas faltantes","Cobertura completa")))</f>
        <v>Cobertura incompleta - revisar pruebas faltantes</v>
      </c>
    </row>
    <row r="20">
      <c r="A20" s="6" t="str">
        <f>IF('Cobertura de Requisitos'!A20="","",'Cobertura de Requisitos'!A20)</f>
        <v>RF-017</v>
      </c>
      <c r="B20" s="9" t="str">
        <f>IF($A20="","",'Cobertura de Requisitos'!B20)</f>
        <v>Visualizar Carrito de Compras</v>
      </c>
      <c r="C20" s="8" t="str">
        <f>IF($A20="","",IF('Cobertura de Requisitos'!E20&gt;0,"Si","No"))</f>
        <v>No</v>
      </c>
      <c r="D20" s="8" t="str">
        <f>IF($A20="","",IF('Cobertura de Requisitos'!F20&gt;0,"Si","No"))</f>
        <v>No</v>
      </c>
      <c r="E20" s="8" t="str">
        <f>IF($A20="","",IF('Cobertura de Requisitos'!G20&gt;0,"Si","No"))</f>
        <v>No</v>
      </c>
      <c r="F20" s="8" t="str">
        <f>IF($A20="","",IF('Cobertura de Requisitos'!H20&gt;0,"Si","No"))</f>
        <v>No</v>
      </c>
      <c r="G20" s="12" t="str">
        <f>IF($A20="","",'Cobertura de Requisitos'!J20)</f>
        <v>Pendiente</v>
      </c>
      <c r="H20" s="9" t="str">
        <f>IF($A20="","",IF('Cobertura de Requisitos'!J20="Pendiente","Sin cobertura - requiere pruebas",IF('Cobertura de Requisitos'!J20="Parcial","Cobertura incompleta - revisar pruebas faltantes","Cobertura completa")))</f>
        <v>Sin cobertura - requiere pruebas</v>
      </c>
    </row>
    <row r="21" ht="15.75" customHeight="1">
      <c r="A21" s="6" t="str">
        <f>IF('Cobertura de Requisitos'!A21="","",'Cobertura de Requisitos'!A21)</f>
        <v>RF-018</v>
      </c>
      <c r="B21" s="9" t="str">
        <f>IF($A21="","",'Cobertura de Requisitos'!B21)</f>
        <v>Modificar Cantidades en Carrito</v>
      </c>
      <c r="C21" s="8" t="str">
        <f>IF($A21="","",IF('Cobertura de Requisitos'!E21&gt;0,"Si","No"))</f>
        <v>No</v>
      </c>
      <c r="D21" s="8" t="str">
        <f>IF($A21="","",IF('Cobertura de Requisitos'!F21&gt;0,"Si","No"))</f>
        <v>No</v>
      </c>
      <c r="E21" s="8" t="str">
        <f>IF($A21="","",IF('Cobertura de Requisitos'!G21&gt;0,"Si","No"))</f>
        <v>No</v>
      </c>
      <c r="F21" s="8" t="str">
        <f>IF($A21="","",IF('Cobertura de Requisitos'!H21&gt;0,"Si","No"))</f>
        <v>No</v>
      </c>
      <c r="G21" s="12" t="str">
        <f>IF($A21="","",'Cobertura de Requisitos'!J21)</f>
        <v>Pendiente</v>
      </c>
      <c r="H21" s="9" t="str">
        <f>IF($A21="","",IF('Cobertura de Requisitos'!J21="Pendiente","Sin cobertura - requiere pruebas",IF('Cobertura de Requisitos'!J21="Parcial","Cobertura incompleta - revisar pruebas faltantes","Cobertura completa")))</f>
        <v>Sin cobertura - requiere pruebas</v>
      </c>
    </row>
    <row r="22" ht="15.75" customHeight="1">
      <c r="A22" s="6" t="str">
        <f>IF('Cobertura de Requisitos'!A22="","",'Cobertura de Requisitos'!A22)</f>
        <v>RF-019</v>
      </c>
      <c r="B22" s="9" t="str">
        <f>IF($A22="","",'Cobertura de Requisitos'!B22)</f>
        <v>Seleccionar Método de Pago</v>
      </c>
      <c r="C22" s="8" t="str">
        <f>IF($A22="","",IF('Cobertura de Requisitos'!E22&gt;0,"Si","No"))</f>
        <v>No</v>
      </c>
      <c r="D22" s="8" t="str">
        <f>IF($A22="","",IF('Cobertura de Requisitos'!F22&gt;0,"Si","No"))</f>
        <v>No</v>
      </c>
      <c r="E22" s="8" t="str">
        <f>IF($A22="","",IF('Cobertura de Requisitos'!G22&gt;0,"Si","No"))</f>
        <v>No</v>
      </c>
      <c r="F22" s="8" t="str">
        <f>IF($A22="","",IF('Cobertura de Requisitos'!H22&gt;0,"Si","No"))</f>
        <v>No</v>
      </c>
      <c r="G22" s="12" t="str">
        <f>IF($A22="","",'Cobertura de Requisitos'!J22)</f>
        <v>Pendiente</v>
      </c>
      <c r="H22" s="9" t="str">
        <f>IF($A22="","",IF('Cobertura de Requisitos'!J22="Pendiente","Sin cobertura - requiere pruebas",IF('Cobertura de Requisitos'!J22="Parcial","Cobertura incompleta - revisar pruebas faltantes","Cobertura completa")))</f>
        <v>Sin cobertura - requiere pruebas</v>
      </c>
    </row>
    <row r="23" ht="15.75" customHeight="1">
      <c r="A23" s="6" t="str">
        <f>IF('Cobertura de Requisitos'!A23="","",'Cobertura de Requisitos'!A23)</f>
        <v>RF-020</v>
      </c>
      <c r="B23" s="9" t="str">
        <f>IF($A23="","",'Cobertura de Requisitos'!B23)</f>
        <v>Confirmar Compra</v>
      </c>
      <c r="C23" s="8" t="str">
        <f>IF($A23="","",IF('Cobertura de Requisitos'!E23&gt;0,"Si","No"))</f>
        <v>No</v>
      </c>
      <c r="D23" s="8" t="str">
        <f>IF($A23="","",IF('Cobertura de Requisitos'!F23&gt;0,"Si","No"))</f>
        <v>No</v>
      </c>
      <c r="E23" s="8" t="str">
        <f>IF($A23="","",IF('Cobertura de Requisitos'!G23&gt;0,"Si","No"))</f>
        <v>No</v>
      </c>
      <c r="F23" s="8" t="str">
        <f>IF($A23="","",IF('Cobertura de Requisitos'!H23&gt;0,"Si","No"))</f>
        <v>No</v>
      </c>
      <c r="G23" s="12" t="str">
        <f>IF($A23="","",'Cobertura de Requisitos'!J23)</f>
        <v>Pendiente</v>
      </c>
      <c r="H23" s="9" t="str">
        <f>IF($A23="","",IF('Cobertura de Requisitos'!J23="Pendiente","Sin cobertura - requiere pruebas",IF('Cobertura de Requisitos'!J23="Parcial","Cobertura incompleta - revisar pruebas faltantes","Cobertura completa")))</f>
        <v>Sin cobertura - requiere pruebas</v>
      </c>
    </row>
    <row r="24" ht="15.75" customHeight="1">
      <c r="A24" s="6" t="str">
        <f>IF('Cobertura de Requisitos'!A24="","",'Cobertura de Requisitos'!A24)</f>
        <v>RF-021</v>
      </c>
      <c r="B24" s="9" t="str">
        <f>IF($A24="","",'Cobertura de Requisitos'!B24)</f>
        <v> Comprobante de Venta</v>
      </c>
      <c r="C24" s="8" t="str">
        <f>IF($A24="","",IF('Cobertura de Requisitos'!E24&gt;0,"Si","No"))</f>
        <v>No</v>
      </c>
      <c r="D24" s="8" t="str">
        <f>IF($A24="","",IF('Cobertura de Requisitos'!F24&gt;0,"Si","No"))</f>
        <v>No</v>
      </c>
      <c r="E24" s="8" t="str">
        <f>IF($A24="","",IF('Cobertura de Requisitos'!G24&gt;0,"Si","No"))</f>
        <v>No</v>
      </c>
      <c r="F24" s="8" t="str">
        <f>IF($A24="","",IF('Cobertura de Requisitos'!H24&gt;0,"Si","No"))</f>
        <v>No</v>
      </c>
      <c r="G24" s="12" t="str">
        <f>IF($A24="","",'Cobertura de Requisitos'!J24)</f>
        <v>Pendiente</v>
      </c>
      <c r="H24" s="9" t="str">
        <f>IF($A24="","",IF('Cobertura de Requisitos'!J24="Pendiente","Sin cobertura - requiere pruebas",IF('Cobertura de Requisitos'!J24="Parcial","Cobertura incompleta - revisar pruebas faltantes","Cobertura completa")))</f>
        <v>Sin cobertura - requiere pruebas</v>
      </c>
    </row>
    <row r="25" ht="15.75" customHeight="1">
      <c r="A25" s="6" t="str">
        <f>IF('Cobertura de Requisitos'!A25="","",'Cobertura de Requisitos'!A25)</f>
        <v>RF-022</v>
      </c>
      <c r="B25" s="9" t="str">
        <f>IF($A25="","",'Cobertura de Requisitos'!B25)</f>
        <v>Registrar Producto</v>
      </c>
      <c r="C25" s="8" t="str">
        <f>IF($A25="","",IF('Cobertura de Requisitos'!E25&gt;0,"Si","No"))</f>
        <v>No</v>
      </c>
      <c r="D25" s="8" t="str">
        <f>IF($A25="","",IF('Cobertura de Requisitos'!F25&gt;0,"Si","No"))</f>
        <v>No</v>
      </c>
      <c r="E25" s="8" t="str">
        <f>IF($A25="","",IF('Cobertura de Requisitos'!G25&gt;0,"Si","No"))</f>
        <v>No</v>
      </c>
      <c r="F25" s="8" t="str">
        <f>IF($A25="","",IF('Cobertura de Requisitos'!H25&gt;0,"Si","No"))</f>
        <v>No</v>
      </c>
      <c r="G25" s="12" t="str">
        <f>IF($A25="","",'Cobertura de Requisitos'!J25)</f>
        <v>Pendiente</v>
      </c>
      <c r="H25" s="9" t="str">
        <f>IF($A25="","",IF('Cobertura de Requisitos'!J25="Pendiente","Sin cobertura - requiere pruebas",IF('Cobertura de Requisitos'!J25="Parcial","Cobertura incompleta - revisar pruebas faltantes","Cobertura completa")))</f>
        <v>Sin cobertura - requiere pruebas</v>
      </c>
    </row>
    <row r="26" ht="15.75" customHeight="1">
      <c r="A26" s="6" t="str">
        <f>IF('Cobertura de Requisitos'!A26="","",'Cobertura de Requisitos'!A26)</f>
        <v>RF-023</v>
      </c>
      <c r="B26" s="9" t="str">
        <f>IF($A26="","",'Cobertura de Requisitos'!B26)</f>
        <v>Listar / consultar productos</v>
      </c>
      <c r="C26" s="8" t="str">
        <f>IF($A26="","",IF('Cobertura de Requisitos'!E26&gt;0,"Si","No"))</f>
        <v>No</v>
      </c>
      <c r="D26" s="8" t="str">
        <f>IF($A26="","",IF('Cobertura de Requisitos'!F26&gt;0,"Si","No"))</f>
        <v>No</v>
      </c>
      <c r="E26" s="8" t="str">
        <f>IF($A26="","",IF('Cobertura de Requisitos'!G26&gt;0,"Si","No"))</f>
        <v>No</v>
      </c>
      <c r="F26" s="8" t="str">
        <f>IF($A26="","",IF('Cobertura de Requisitos'!H26&gt;0,"Si","No"))</f>
        <v>No</v>
      </c>
      <c r="G26" s="12" t="str">
        <f>IF($A26="","",'Cobertura de Requisitos'!J26)</f>
        <v>Pendiente</v>
      </c>
      <c r="H26" s="9" t="str">
        <f>IF($A26="","",IF('Cobertura de Requisitos'!J26="Pendiente","Sin cobertura - requiere pruebas",IF('Cobertura de Requisitos'!J26="Parcial","Cobertura incompleta - revisar pruebas faltantes","Cobertura completa")))</f>
        <v>Sin cobertura - requiere pruebas</v>
      </c>
    </row>
    <row r="27" ht="15.75" customHeight="1">
      <c r="A27" s="6" t="str">
        <f>IF('Cobertura de Requisitos'!A27="","",'Cobertura de Requisitos'!A27)</f>
        <v>RF-024</v>
      </c>
      <c r="B27" s="9" t="str">
        <f>IF($A27="","",'Cobertura de Requisitos'!B27)</f>
        <v>Actualizar producto</v>
      </c>
      <c r="C27" s="8" t="str">
        <f>IF($A27="","",IF('Cobertura de Requisitos'!E27&gt;0,"Si","No"))</f>
        <v>No</v>
      </c>
      <c r="D27" s="8" t="str">
        <f>IF($A27="","",IF('Cobertura de Requisitos'!F27&gt;0,"Si","No"))</f>
        <v>No</v>
      </c>
      <c r="E27" s="8" t="str">
        <f>IF($A27="","",IF('Cobertura de Requisitos'!G27&gt;0,"Si","No"))</f>
        <v>No</v>
      </c>
      <c r="F27" s="8" t="str">
        <f>IF($A27="","",IF('Cobertura de Requisitos'!H27&gt;0,"Si","No"))</f>
        <v>No</v>
      </c>
      <c r="G27" s="12" t="str">
        <f>IF($A27="","",'Cobertura de Requisitos'!J27)</f>
        <v>Pendiente</v>
      </c>
      <c r="H27" s="9" t="str">
        <f>IF($A27="","",IF('Cobertura de Requisitos'!J27="Pendiente","Sin cobertura - requiere pruebas",IF('Cobertura de Requisitos'!J27="Parcial","Cobertura incompleta - revisar pruebas faltantes","Cobertura completa")))</f>
        <v>Sin cobertura - requiere pruebas</v>
      </c>
    </row>
    <row r="28" ht="15.75" customHeight="1">
      <c r="A28" s="6" t="str">
        <f>IF('Cobertura de Requisitos'!A28="","",'Cobertura de Requisitos'!A28)</f>
        <v>RF-025</v>
      </c>
      <c r="B28" s="9" t="str">
        <f>IF($A28="","",'Cobertura de Requisitos'!B28)</f>
        <v>Deshabilitar  producto</v>
      </c>
      <c r="C28" s="8" t="str">
        <f>IF($A28="","",IF('Cobertura de Requisitos'!E28&gt;0,"Si","No"))</f>
        <v>No</v>
      </c>
      <c r="D28" s="8" t="str">
        <f>IF($A28="","",IF('Cobertura de Requisitos'!F28&gt;0,"Si","No"))</f>
        <v>No</v>
      </c>
      <c r="E28" s="8" t="str">
        <f>IF($A28="","",IF('Cobertura de Requisitos'!G28&gt;0,"Si","No"))</f>
        <v>No</v>
      </c>
      <c r="F28" s="8" t="str">
        <f>IF($A28="","",IF('Cobertura de Requisitos'!H28&gt;0,"Si","No"))</f>
        <v>No</v>
      </c>
      <c r="G28" s="12" t="str">
        <f>IF($A28="","",'Cobertura de Requisitos'!J28)</f>
        <v>Pendiente</v>
      </c>
      <c r="H28" s="9" t="str">
        <f>IF($A28="","",IF('Cobertura de Requisitos'!J28="Pendiente","Sin cobertura - requiere pruebas",IF('Cobertura de Requisitos'!J28="Parcial","Cobertura incompleta - revisar pruebas faltantes","Cobertura completa")))</f>
        <v>Sin cobertura - requiere pruebas</v>
      </c>
    </row>
    <row r="29" ht="15.75" customHeight="1">
      <c r="A29" s="6" t="str">
        <f>IF('Cobertura de Requisitos'!A29="","",'Cobertura de Requisitos'!A29)</f>
        <v>RF-026</v>
      </c>
      <c r="B29" s="9" t="str">
        <f>IF($A29="","",'Cobertura de Requisitos'!B29)</f>
        <v>Reporte de ventas por mes </v>
      </c>
      <c r="C29" s="8" t="str">
        <f>IF($A29="","",IF('Cobertura de Requisitos'!E29&gt;0,"Si","No"))</f>
        <v>No</v>
      </c>
      <c r="D29" s="8" t="str">
        <f>IF($A29="","",IF('Cobertura de Requisitos'!F29&gt;0,"Si","No"))</f>
        <v>No</v>
      </c>
      <c r="E29" s="8" t="str">
        <f>IF($A29="","",IF('Cobertura de Requisitos'!G29&gt;0,"Si","No"))</f>
        <v>No</v>
      </c>
      <c r="F29" s="8" t="str">
        <f>IF($A29="","",IF('Cobertura de Requisitos'!H29&gt;0,"Si","No"))</f>
        <v>No</v>
      </c>
      <c r="G29" s="12" t="str">
        <f>IF($A29="","",'Cobertura de Requisitos'!J29)</f>
        <v>Pendiente</v>
      </c>
      <c r="H29" s="9" t="str">
        <f>IF($A29="","",IF('Cobertura de Requisitos'!J29="Pendiente","Sin cobertura - requiere pruebas",IF('Cobertura de Requisitos'!J29="Parcial","Cobertura incompleta - revisar pruebas faltantes","Cobertura completa")))</f>
        <v>Sin cobertura - requiere pruebas</v>
      </c>
    </row>
    <row r="30" ht="15.75" customHeight="1">
      <c r="A30" s="6" t="str">
        <f>IF('Cobertura de Requisitos'!A30="","",'Cobertura de Requisitos'!A30)</f>
        <v>RF-027</v>
      </c>
      <c r="B30" s="9" t="str">
        <f>IF($A30="","",'Cobertura de Requisitos'!B30)</f>
        <v>Top productos </v>
      </c>
      <c r="C30" s="8" t="str">
        <f>IF($A30="","",IF('Cobertura de Requisitos'!E30&gt;0,"Si","No"))</f>
        <v>No</v>
      </c>
      <c r="D30" s="8" t="str">
        <f>IF($A30="","",IF('Cobertura de Requisitos'!F30&gt;0,"Si","No"))</f>
        <v>No</v>
      </c>
      <c r="E30" s="8" t="str">
        <f>IF($A30="","",IF('Cobertura de Requisitos'!G30&gt;0,"Si","No"))</f>
        <v>No</v>
      </c>
      <c r="F30" s="8" t="str">
        <f>IF($A30="","",IF('Cobertura de Requisitos'!H30&gt;0,"Si","No"))</f>
        <v>No</v>
      </c>
      <c r="G30" s="12" t="str">
        <f>IF($A30="","",'Cobertura de Requisitos'!J30)</f>
        <v>Pendiente</v>
      </c>
      <c r="H30" s="9" t="str">
        <f>IF($A30="","",IF('Cobertura de Requisitos'!J30="Pendiente","Sin cobertura - requiere pruebas",IF('Cobertura de Requisitos'!J30="Parcial","Cobertura incompleta - revisar pruebas faltantes","Cobertura completa")))</f>
        <v>Sin cobertura - requiere pruebas</v>
      </c>
    </row>
    <row r="31" ht="15.75" customHeight="1">
      <c r="A31" s="6" t="str">
        <f>IF('Cobertura de Requisitos'!A31="","",'Cobertura de Requisitos'!A31)</f>
        <v>RF-028</v>
      </c>
      <c r="B31" s="9" t="str">
        <f>IF($A31="","",'Cobertura de Requisitos'!B31)</f>
        <v>Resumen general </v>
      </c>
      <c r="C31" s="8" t="str">
        <f>IF($A31="","",IF('Cobertura de Requisitos'!E31&gt;0,"Si","No"))</f>
        <v>No</v>
      </c>
      <c r="D31" s="8" t="str">
        <f>IF($A31="","",IF('Cobertura de Requisitos'!F31&gt;0,"Si","No"))</f>
        <v>No</v>
      </c>
      <c r="E31" s="8" t="str">
        <f>IF($A31="","",IF('Cobertura de Requisitos'!G31&gt;0,"Si","No"))</f>
        <v>No</v>
      </c>
      <c r="F31" s="8" t="str">
        <f>IF($A31="","",IF('Cobertura de Requisitos'!H31&gt;0,"Si","No"))</f>
        <v>No</v>
      </c>
      <c r="G31" s="12" t="str">
        <f>IF($A31="","",'Cobertura de Requisitos'!J31)</f>
        <v>Pendiente</v>
      </c>
      <c r="H31" s="9" t="str">
        <f>IF($A31="","",IF('Cobertura de Requisitos'!J31="Pendiente","Sin cobertura - requiere pruebas",IF('Cobertura de Requisitos'!J31="Parcial","Cobertura incompleta - revisar pruebas faltantes","Cobertura completa")))</f>
        <v>Sin cobertura - requiere pruebas</v>
      </c>
    </row>
    <row r="32" ht="15.75" customHeight="1">
      <c r="A32" s="6" t="str">
        <f>IF('Cobertura de Requisitos'!A32="","",'Cobertura de Requisitos'!A32)</f>
        <v>RF-029</v>
      </c>
      <c r="B32" s="9" t="str">
        <f>IF($A32="","",'Cobertura de Requisitos'!B32)</f>
        <v>Exportar PDF</v>
      </c>
      <c r="C32" s="8" t="str">
        <f>IF($A32="","",IF('Cobertura de Requisitos'!E32&gt;0,"Si","No"))</f>
        <v>No</v>
      </c>
      <c r="D32" s="8" t="str">
        <f>IF($A32="","",IF('Cobertura de Requisitos'!F32&gt;0,"Si","No"))</f>
        <v>No</v>
      </c>
      <c r="E32" s="8" t="str">
        <f>IF($A32="","",IF('Cobertura de Requisitos'!G32&gt;0,"Si","No"))</f>
        <v>No</v>
      </c>
      <c r="F32" s="8" t="str">
        <f>IF($A32="","",IF('Cobertura de Requisitos'!H32&gt;0,"Si","No"))</f>
        <v>No</v>
      </c>
      <c r="G32" s="12" t="str">
        <f>IF($A32="","",'Cobertura de Requisitos'!J32)</f>
        <v>Pendiente</v>
      </c>
      <c r="H32" s="9" t="str">
        <f>IF($A32="","",IF('Cobertura de Requisitos'!J32="Pendiente","Sin cobertura - requiere pruebas",IF('Cobertura de Requisitos'!J32="Parcial","Cobertura incompleta - revisar pruebas faltantes","Cobertura completa")))</f>
        <v>Sin cobertura - requiere pruebas</v>
      </c>
    </row>
    <row r="33" ht="15.75" customHeight="1">
      <c r="A33" s="6" t="str">
        <f>IF('Cobertura de Requisitos'!A33="","",'Cobertura de Requisitos'!A33)</f>
        <v>RF-030</v>
      </c>
      <c r="B33" s="9" t="str">
        <f>IF($A33="","",'Cobertura de Requisitos'!B33)</f>
        <v>Registro movimeintos</v>
      </c>
      <c r="C33" s="8" t="str">
        <f>IF($A33="","",IF('Cobertura de Requisitos'!E33&gt;0,"Si","No"))</f>
        <v>No</v>
      </c>
      <c r="D33" s="8" t="str">
        <f>IF($A33="","",IF('Cobertura de Requisitos'!F33&gt;0,"Si","No"))</f>
        <v>No</v>
      </c>
      <c r="E33" s="8" t="str">
        <f>IF($A33="","",IF('Cobertura de Requisitos'!G33&gt;0,"Si","No"))</f>
        <v>No</v>
      </c>
      <c r="F33" s="8" t="str">
        <f>IF($A33="","",IF('Cobertura de Requisitos'!H33&gt;0,"Si","No"))</f>
        <v>No</v>
      </c>
      <c r="G33" s="12" t="str">
        <f>IF($A33="","",'Cobertura de Requisitos'!J33)</f>
        <v>Pendiente</v>
      </c>
      <c r="H33" s="9" t="str">
        <f>IF($A33="","",IF('Cobertura de Requisitos'!J33="Pendiente","Sin cobertura - requiere pruebas",IF('Cobertura de Requisitos'!J33="Parcial","Cobertura incompleta - revisar pruebas faltantes","Cobertura completa")))</f>
        <v>Sin cobertura - requiere pruebas</v>
      </c>
    </row>
    <row r="34" ht="15.75" customHeight="1">
      <c r="A34" s="6" t="str">
        <f>IF('Cobertura de Requisitos'!A34="","",'Cobertura de Requisitos'!A34)</f>
        <v>RF-031</v>
      </c>
      <c r="B34" s="9" t="str">
        <f>IF($A34="","",'Cobertura de Requisitos'!B34)</f>
        <v>Notificación al administrador por bajo stock</v>
      </c>
      <c r="C34" s="8" t="str">
        <f>IF($A34="","",IF('Cobertura de Requisitos'!E34&gt;0,"Si","No"))</f>
        <v>No</v>
      </c>
      <c r="D34" s="8" t="str">
        <f>IF($A34="","",IF('Cobertura de Requisitos'!F34&gt;0,"Si","No"))</f>
        <v>No</v>
      </c>
      <c r="E34" s="8" t="str">
        <f>IF($A34="","",IF('Cobertura de Requisitos'!G34&gt;0,"Si","No"))</f>
        <v>No</v>
      </c>
      <c r="F34" s="8" t="str">
        <f>IF($A34="","",IF('Cobertura de Requisitos'!H34&gt;0,"Si","No"))</f>
        <v>No</v>
      </c>
      <c r="G34" s="12" t="str">
        <f>IF($A34="","",'Cobertura de Requisitos'!J34)</f>
        <v>Pendiente</v>
      </c>
      <c r="H34" s="9" t="str">
        <f>IF($A34="","",IF('Cobertura de Requisitos'!J34="Pendiente","Sin cobertura - requiere pruebas",IF('Cobertura de Requisitos'!J34="Parcial","Cobertura incompleta - revisar pruebas faltantes","Cobertura completa")))</f>
        <v>Sin cobertura - requiere pruebas</v>
      </c>
    </row>
    <row r="35" ht="15.75" customHeight="1">
      <c r="A35" s="6" t="str">
        <f>IF('Cobertura de Requisitos'!A35="","",'Cobertura de Requisitos'!A35)</f>
        <v>RF-032</v>
      </c>
      <c r="B35" s="9" t="str">
        <f>IF($A35="","",'Cobertura de Requisitos'!B35)</f>
        <v>Listar proveedores</v>
      </c>
      <c r="C35" s="8" t="str">
        <f>IF($A35="","",IF('Cobertura de Requisitos'!E35&gt;0,"Si","No"))</f>
        <v>No</v>
      </c>
      <c r="D35" s="8" t="str">
        <f>IF($A35="","",IF('Cobertura de Requisitos'!F35&gt;0,"Si","No"))</f>
        <v>No</v>
      </c>
      <c r="E35" s="8" t="str">
        <f>IF($A35="","",IF('Cobertura de Requisitos'!G35&gt;0,"Si","No"))</f>
        <v>No</v>
      </c>
      <c r="F35" s="8" t="str">
        <f>IF($A35="","",IF('Cobertura de Requisitos'!H35&gt;0,"Si","No"))</f>
        <v>No</v>
      </c>
      <c r="G35" s="12" t="str">
        <f>IF($A35="","",'Cobertura de Requisitos'!J35)</f>
        <v>Pendiente</v>
      </c>
      <c r="H35" s="9" t="str">
        <f>IF($A35="","",IF('Cobertura de Requisitos'!J35="Pendiente","Sin cobertura - requiere pruebas",IF('Cobertura de Requisitos'!J35="Parcial","Cobertura incompleta - revisar pruebas faltantes","Cobertura completa")))</f>
        <v>Sin cobertura - requiere pruebas</v>
      </c>
    </row>
    <row r="36" ht="15.75" customHeight="1">
      <c r="A36" s="6" t="str">
        <f>IF('Cobertura de Requisitos'!A36="","",'Cobertura de Requisitos'!A36)</f>
        <v>RF-033</v>
      </c>
      <c r="B36" s="9" t="str">
        <f>IF($A36="","",'Cobertura de Requisitos'!B36)</f>
        <v>Crear proveedores</v>
      </c>
      <c r="C36" s="8" t="str">
        <f>IF($A36="","",IF('Cobertura de Requisitos'!E36&gt;0,"Si","No"))</f>
        <v>No</v>
      </c>
      <c r="D36" s="8" t="str">
        <f>IF($A36="","",IF('Cobertura de Requisitos'!F36&gt;0,"Si","No"))</f>
        <v>No</v>
      </c>
      <c r="E36" s="8" t="str">
        <f>IF($A36="","",IF('Cobertura de Requisitos'!G36&gt;0,"Si","No"))</f>
        <v>No</v>
      </c>
      <c r="F36" s="8" t="str">
        <f>IF($A36="","",IF('Cobertura de Requisitos'!H36&gt;0,"Si","No"))</f>
        <v>No</v>
      </c>
      <c r="G36" s="12" t="str">
        <f>IF($A36="","",'Cobertura de Requisitos'!J36)</f>
        <v>Pendiente</v>
      </c>
      <c r="H36" s="9" t="str">
        <f>IF($A36="","",IF('Cobertura de Requisitos'!J36="Pendiente","Sin cobertura - requiere pruebas",IF('Cobertura de Requisitos'!J36="Parcial","Cobertura incompleta - revisar pruebas faltantes","Cobertura completa")))</f>
        <v>Sin cobertura - requiere pruebas</v>
      </c>
    </row>
    <row r="37" ht="15.75" customHeight="1">
      <c r="A37" s="6" t="str">
        <f>IF('Cobertura de Requisitos'!A37="","",'Cobertura de Requisitos'!A37)</f>
        <v>RF-034</v>
      </c>
      <c r="B37" s="9" t="str">
        <f>IF($A37="","",'Cobertura de Requisitos'!B37)</f>
        <v>Actualizar proveedores</v>
      </c>
      <c r="C37" s="8" t="str">
        <f>IF($A37="","",IF('Cobertura de Requisitos'!E37&gt;0,"Si","No"))</f>
        <v>No</v>
      </c>
      <c r="D37" s="8" t="str">
        <f>IF($A37="","",IF('Cobertura de Requisitos'!F37&gt;0,"Si","No"))</f>
        <v>No</v>
      </c>
      <c r="E37" s="8" t="str">
        <f>IF($A37="","",IF('Cobertura de Requisitos'!G37&gt;0,"Si","No"))</f>
        <v>No</v>
      </c>
      <c r="F37" s="8" t="str">
        <f>IF($A37="","",IF('Cobertura de Requisitos'!H37&gt;0,"Si","No"))</f>
        <v>No</v>
      </c>
      <c r="G37" s="12" t="str">
        <f>IF($A37="","",'Cobertura de Requisitos'!J37)</f>
        <v>Pendiente</v>
      </c>
      <c r="H37" s="9" t="str">
        <f>IF($A37="","",IF('Cobertura de Requisitos'!J37="Pendiente","Sin cobertura - requiere pruebas",IF('Cobertura de Requisitos'!J37="Parcial","Cobertura incompleta - revisar pruebas faltantes","Cobertura completa")))</f>
        <v>Sin cobertura - requiere pruebas</v>
      </c>
    </row>
    <row r="38" ht="15.75" customHeight="1">
      <c r="A38" s="6" t="str">
        <f>IF('Cobertura de Requisitos'!A38="","",'Cobertura de Requisitos'!A38)</f>
        <v>RF-035</v>
      </c>
      <c r="B38" s="9" t="str">
        <f>IF($A38="","",'Cobertura de Requisitos'!B38)</f>
        <v>Eliminar proveedores</v>
      </c>
      <c r="C38" s="8" t="str">
        <f>IF($A38="","",IF('Cobertura de Requisitos'!E38&gt;0,"Si","No"))</f>
        <v>No</v>
      </c>
      <c r="D38" s="8" t="str">
        <f>IF($A38="","",IF('Cobertura de Requisitos'!F38&gt;0,"Si","No"))</f>
        <v>No</v>
      </c>
      <c r="E38" s="8" t="str">
        <f>IF($A38="","",IF('Cobertura de Requisitos'!G38&gt;0,"Si","No"))</f>
        <v>No</v>
      </c>
      <c r="F38" s="8" t="str">
        <f>IF($A38="","",IF('Cobertura de Requisitos'!H38&gt;0,"Si","No"))</f>
        <v>No</v>
      </c>
      <c r="G38" s="12" t="str">
        <f>IF($A38="","",'Cobertura de Requisitos'!J38)</f>
        <v>Pendiente</v>
      </c>
      <c r="H38" s="9" t="str">
        <f>IF($A38="","",IF('Cobertura de Requisitos'!J38="Pendiente","Sin cobertura - requiere pruebas",IF('Cobertura de Requisitos'!J38="Parcial","Cobertura incompleta - revisar pruebas faltantes","Cobertura completa")))</f>
        <v>Sin cobertura - requiere pruebas</v>
      </c>
    </row>
    <row r="39" ht="15.75" customHeight="1">
      <c r="A39" s="6" t="str">
        <f>IF('Cobertura de Requisitos'!A39="","",'Cobertura de Requisitos'!A39)</f>
        <v/>
      </c>
      <c r="B39" s="9" t="str">
        <f>IF($A39="","",'Cobertura de Requisitos'!B39)</f>
        <v/>
      </c>
      <c r="C39" s="8" t="str">
        <f>IF($A39="","",IF('Cobertura de Requisitos'!E39&gt;0,"Si","No"))</f>
        <v/>
      </c>
      <c r="D39" s="8" t="str">
        <f>IF($A39="","",IF('Cobertura de Requisitos'!F39&gt;0,"Si","No"))</f>
        <v/>
      </c>
      <c r="E39" s="8" t="str">
        <f>IF($A39="","",IF('Cobertura de Requisitos'!G39&gt;0,"Si","No"))</f>
        <v/>
      </c>
      <c r="F39" s="8" t="str">
        <f>IF($A39="","",IF('Cobertura de Requisitos'!H39&gt;0,"Si","No"))</f>
        <v/>
      </c>
      <c r="G39" s="12" t="str">
        <f>IF($A39="","",'Cobertura de Requisitos'!J39)</f>
        <v/>
      </c>
      <c r="H39" s="9" t="str">
        <f>IF($A39="","",IF('Cobertura de Requisitos'!J39="Pendiente","Sin cobertura - requiere pruebas",IF('Cobertura de Requisitos'!J39="Parcial","Cobertura incompleta - revisar pruebas faltantes","Cobertura completa")))</f>
        <v/>
      </c>
    </row>
    <row r="40" ht="15.75" customHeight="1">
      <c r="A40" s="6" t="str">
        <f>IF('Cobertura de Requisitos'!A40="","",'Cobertura de Requisitos'!A40)</f>
        <v/>
      </c>
      <c r="B40" s="9" t="str">
        <f>IF($A40="","",'Cobertura de Requisitos'!B40)</f>
        <v/>
      </c>
      <c r="C40" s="8" t="str">
        <f>IF($A40="","",IF('Cobertura de Requisitos'!E40&gt;0,"Si","No"))</f>
        <v/>
      </c>
      <c r="D40" s="8" t="str">
        <f>IF($A40="","",IF('Cobertura de Requisitos'!F40&gt;0,"Si","No"))</f>
        <v/>
      </c>
      <c r="E40" s="8" t="str">
        <f>IF($A40="","",IF('Cobertura de Requisitos'!G40&gt;0,"Si","No"))</f>
        <v/>
      </c>
      <c r="F40" s="8" t="str">
        <f>IF($A40="","",IF('Cobertura de Requisitos'!H40&gt;0,"Si","No"))</f>
        <v/>
      </c>
      <c r="G40" s="12" t="str">
        <f>IF($A40="","",'Cobertura de Requisitos'!J40)</f>
        <v/>
      </c>
      <c r="H40" s="9" t="str">
        <f>IF($A40="","",IF('Cobertura de Requisitos'!J40="Pendiente","Sin cobertura - requiere pruebas",IF('Cobertura de Requisitos'!J40="Parcial","Cobertura incompleta - revisar pruebas faltantes","Cobertura completa")))</f>
        <v/>
      </c>
    </row>
    <row r="41" ht="15.75" customHeight="1">
      <c r="A41" s="6" t="str">
        <f>IF('Cobertura de Requisitos'!A41="","",'Cobertura de Requisitos'!A41)</f>
        <v/>
      </c>
      <c r="B41" s="9" t="str">
        <f>IF($A41="","",'Cobertura de Requisitos'!B41)</f>
        <v/>
      </c>
      <c r="C41" s="8" t="str">
        <f>IF($A41="","",IF('Cobertura de Requisitos'!E41&gt;0,"Si","No"))</f>
        <v/>
      </c>
      <c r="D41" s="8" t="str">
        <f>IF($A41="","",IF('Cobertura de Requisitos'!F41&gt;0,"Si","No"))</f>
        <v/>
      </c>
      <c r="E41" s="8" t="str">
        <f>IF($A41="","",IF('Cobertura de Requisitos'!G41&gt;0,"Si","No"))</f>
        <v/>
      </c>
      <c r="F41" s="8" t="str">
        <f>IF($A41="","",IF('Cobertura de Requisitos'!H41&gt;0,"Si","No"))</f>
        <v/>
      </c>
      <c r="G41" s="12" t="str">
        <f>IF($A41="","",'Cobertura de Requisitos'!J41)</f>
        <v/>
      </c>
      <c r="H41" s="9" t="str">
        <f>IF($A41="","",IF('Cobertura de Requisitos'!J41="Pendiente","Sin cobertura - requiere pruebas",IF('Cobertura de Requisitos'!J41="Parcial","Cobertura incompleta - revisar pruebas faltantes","Cobertura completa")))</f>
        <v/>
      </c>
    </row>
    <row r="42" ht="15.75" customHeight="1">
      <c r="A42" s="6" t="str">
        <f>IF('Cobertura de Requisitos'!A42="","",'Cobertura de Requisitos'!A42)</f>
        <v/>
      </c>
      <c r="B42" s="9" t="str">
        <f>IF($A42="","",'Cobertura de Requisitos'!B42)</f>
        <v/>
      </c>
      <c r="C42" s="8" t="str">
        <f>IF($A42="","",IF('Cobertura de Requisitos'!E42&gt;0,"Si","No"))</f>
        <v/>
      </c>
      <c r="D42" s="8" t="str">
        <f>IF($A42="","",IF('Cobertura de Requisitos'!F42&gt;0,"Si","No"))</f>
        <v/>
      </c>
      <c r="E42" s="8" t="str">
        <f>IF($A42="","",IF('Cobertura de Requisitos'!G42&gt;0,"Si","No"))</f>
        <v/>
      </c>
      <c r="F42" s="8" t="str">
        <f>IF($A42="","",IF('Cobertura de Requisitos'!H42&gt;0,"Si","No"))</f>
        <v/>
      </c>
      <c r="G42" s="12" t="str">
        <f>IF($A42="","",'Cobertura de Requisitos'!J42)</f>
        <v/>
      </c>
      <c r="H42" s="9" t="str">
        <f>IF($A42="","",IF('Cobertura de Requisitos'!J42="Pendiente","Sin cobertura - requiere pruebas",IF('Cobertura de Requisitos'!J42="Parcial","Cobertura incompleta - revisar pruebas faltantes","Cobertura completa")))</f>
        <v/>
      </c>
    </row>
    <row r="43" ht="15.75" customHeight="1">
      <c r="A43" s="6" t="str">
        <f>IF('Cobertura de Requisitos'!A43="","",'Cobertura de Requisitos'!A43)</f>
        <v/>
      </c>
      <c r="B43" s="9" t="str">
        <f>IF($A43="","",'Cobertura de Requisitos'!B43)</f>
        <v/>
      </c>
      <c r="C43" s="8" t="str">
        <f>IF($A43="","",IF('Cobertura de Requisitos'!E43&gt;0,"Si","No"))</f>
        <v/>
      </c>
      <c r="D43" s="8" t="str">
        <f>IF($A43="","",IF('Cobertura de Requisitos'!F43&gt;0,"Si","No"))</f>
        <v/>
      </c>
      <c r="E43" s="8" t="str">
        <f>IF($A43="","",IF('Cobertura de Requisitos'!G43&gt;0,"Si","No"))</f>
        <v/>
      </c>
      <c r="F43" s="8" t="str">
        <f>IF($A43="","",IF('Cobertura de Requisitos'!H43&gt;0,"Si","No"))</f>
        <v/>
      </c>
      <c r="G43" s="12" t="str">
        <f>IF($A43="","",'Cobertura de Requisitos'!J43)</f>
        <v/>
      </c>
      <c r="H43" s="9" t="str">
        <f>IF($A43="","",IF('Cobertura de Requisitos'!J43="Pendiente","Sin cobertura - requiere pruebas",IF('Cobertura de Requisitos'!J43="Parcial","Cobertura incompleta - revisar pruebas faltantes","Cobertura completa")))</f>
        <v/>
      </c>
    </row>
    <row r="44" ht="15.75" customHeight="1">
      <c r="A44" s="6" t="str">
        <f>IF('Cobertura de Requisitos'!A44="","",'Cobertura de Requisitos'!A44)</f>
        <v/>
      </c>
      <c r="B44" s="9" t="str">
        <f>IF($A44="","",'Cobertura de Requisitos'!B44)</f>
        <v/>
      </c>
      <c r="C44" s="8" t="str">
        <f>IF($A44="","",IF('Cobertura de Requisitos'!E44&gt;0,"Si","No"))</f>
        <v/>
      </c>
      <c r="D44" s="8" t="str">
        <f>IF($A44="","",IF('Cobertura de Requisitos'!F44&gt;0,"Si","No"))</f>
        <v/>
      </c>
      <c r="E44" s="8" t="str">
        <f>IF($A44="","",IF('Cobertura de Requisitos'!G44&gt;0,"Si","No"))</f>
        <v/>
      </c>
      <c r="F44" s="8" t="str">
        <f>IF($A44="","",IF('Cobertura de Requisitos'!H44&gt;0,"Si","No"))</f>
        <v/>
      </c>
      <c r="G44" s="12" t="str">
        <f>IF($A44="","",'Cobertura de Requisitos'!J44)</f>
        <v/>
      </c>
      <c r="H44" s="9" t="str">
        <f>IF($A44="","",IF('Cobertura de Requisitos'!J44="Pendiente","Sin cobertura - requiere pruebas",IF('Cobertura de Requisitos'!J44="Parcial","Cobertura incompleta - revisar pruebas faltantes","Cobertura completa")))</f>
        <v/>
      </c>
    </row>
    <row r="45" ht="15.75" customHeight="1">
      <c r="A45" s="6" t="str">
        <f>IF('Cobertura de Requisitos'!A45="","",'Cobertura de Requisitos'!A45)</f>
        <v/>
      </c>
      <c r="B45" s="9" t="str">
        <f>IF($A45="","",'Cobertura de Requisitos'!B45)</f>
        <v/>
      </c>
      <c r="C45" s="8" t="str">
        <f>IF($A45="","",IF('Cobertura de Requisitos'!E45&gt;0,"Si","No"))</f>
        <v/>
      </c>
      <c r="D45" s="8" t="str">
        <f>IF($A45="","",IF('Cobertura de Requisitos'!F45&gt;0,"Si","No"))</f>
        <v/>
      </c>
      <c r="E45" s="8" t="str">
        <f>IF($A45="","",IF('Cobertura de Requisitos'!G45&gt;0,"Si","No"))</f>
        <v/>
      </c>
      <c r="F45" s="8" t="str">
        <f>IF($A45="","",IF('Cobertura de Requisitos'!H45&gt;0,"Si","No"))</f>
        <v/>
      </c>
      <c r="G45" s="12" t="str">
        <f>IF($A45="","",'Cobertura de Requisitos'!J45)</f>
        <v/>
      </c>
      <c r="H45" s="9" t="str">
        <f>IF($A45="","",IF('Cobertura de Requisitos'!J45="Pendiente","Sin cobertura - requiere pruebas",IF('Cobertura de Requisitos'!J45="Parcial","Cobertura incompleta - revisar pruebas faltantes","Cobertura completa")))</f>
        <v/>
      </c>
    </row>
    <row r="46" ht="15.75" customHeight="1">
      <c r="A46" s="6" t="str">
        <f>IF('Cobertura de Requisitos'!A46="","",'Cobertura de Requisitos'!A46)</f>
        <v/>
      </c>
      <c r="B46" s="9" t="str">
        <f>IF($A46="","",'Cobertura de Requisitos'!B46)</f>
        <v/>
      </c>
      <c r="C46" s="8" t="str">
        <f>IF($A46="","",IF('Cobertura de Requisitos'!E46&gt;0,"Si","No"))</f>
        <v/>
      </c>
      <c r="D46" s="8" t="str">
        <f>IF($A46="","",IF('Cobertura de Requisitos'!F46&gt;0,"Si","No"))</f>
        <v/>
      </c>
      <c r="E46" s="8" t="str">
        <f>IF($A46="","",IF('Cobertura de Requisitos'!G46&gt;0,"Si","No"))</f>
        <v/>
      </c>
      <c r="F46" s="8" t="str">
        <f>IF($A46="","",IF('Cobertura de Requisitos'!H46&gt;0,"Si","No"))</f>
        <v/>
      </c>
      <c r="G46" s="12" t="str">
        <f>IF($A46="","",'Cobertura de Requisitos'!J46)</f>
        <v/>
      </c>
      <c r="H46" s="9" t="str">
        <f>IF($A46="","",IF('Cobertura de Requisitos'!J46="Pendiente","Sin cobertura - requiere pruebas",IF('Cobertura de Requisitos'!J46="Parcial","Cobertura incompleta - revisar pruebas faltantes","Cobertura completa")))</f>
        <v/>
      </c>
    </row>
    <row r="47" ht="15.75" customHeight="1">
      <c r="A47" s="6" t="str">
        <f>IF('Cobertura de Requisitos'!A47="","",'Cobertura de Requisitos'!A47)</f>
        <v/>
      </c>
      <c r="B47" s="9" t="str">
        <f>IF($A47="","",'Cobertura de Requisitos'!B47)</f>
        <v/>
      </c>
      <c r="C47" s="8" t="str">
        <f>IF($A47="","",IF('Cobertura de Requisitos'!E47&gt;0,"Si","No"))</f>
        <v/>
      </c>
      <c r="D47" s="8" t="str">
        <f>IF($A47="","",IF('Cobertura de Requisitos'!F47&gt;0,"Si","No"))</f>
        <v/>
      </c>
      <c r="E47" s="8" t="str">
        <f>IF($A47="","",IF('Cobertura de Requisitos'!G47&gt;0,"Si","No"))</f>
        <v/>
      </c>
      <c r="F47" s="8" t="str">
        <f>IF($A47="","",IF('Cobertura de Requisitos'!H47&gt;0,"Si","No"))</f>
        <v/>
      </c>
      <c r="G47" s="12" t="str">
        <f>IF($A47="","",'Cobertura de Requisitos'!J47)</f>
        <v/>
      </c>
      <c r="H47" s="9" t="str">
        <f>IF($A47="","",IF('Cobertura de Requisitos'!J47="Pendiente","Sin cobertura - requiere pruebas",IF('Cobertura de Requisitos'!J47="Parcial","Cobertura incompleta - revisar pruebas faltantes","Cobertura completa")))</f>
        <v/>
      </c>
    </row>
    <row r="48" ht="15.75" customHeight="1">
      <c r="A48" s="6" t="str">
        <f>IF('Cobertura de Requisitos'!A48="","",'Cobertura de Requisitos'!A48)</f>
        <v/>
      </c>
      <c r="B48" s="9" t="str">
        <f>IF($A48="","",'Cobertura de Requisitos'!B48)</f>
        <v/>
      </c>
      <c r="C48" s="8" t="str">
        <f>IF($A48="","",IF('Cobertura de Requisitos'!E48&gt;0,"Si","No"))</f>
        <v/>
      </c>
      <c r="D48" s="8" t="str">
        <f>IF($A48="","",IF('Cobertura de Requisitos'!F48&gt;0,"Si","No"))</f>
        <v/>
      </c>
      <c r="E48" s="8" t="str">
        <f>IF($A48="","",IF('Cobertura de Requisitos'!G48&gt;0,"Si","No"))</f>
        <v/>
      </c>
      <c r="F48" s="8" t="str">
        <f>IF($A48="","",IF('Cobertura de Requisitos'!H48&gt;0,"Si","No"))</f>
        <v/>
      </c>
      <c r="G48" s="12" t="str">
        <f>IF($A48="","",'Cobertura de Requisitos'!J48)</f>
        <v/>
      </c>
      <c r="H48" s="9" t="str">
        <f>IF($A48="","",IF('Cobertura de Requisitos'!J48="Pendiente","Sin cobertura - requiere pruebas",IF('Cobertura de Requisitos'!J48="Parcial","Cobertura incompleta - revisar pruebas faltantes","Cobertura completa")))</f>
        <v/>
      </c>
    </row>
    <row r="49" ht="15.75" customHeight="1">
      <c r="A49" s="6" t="str">
        <f>IF('Cobertura de Requisitos'!A49="","",'Cobertura de Requisitos'!A49)</f>
        <v/>
      </c>
      <c r="B49" s="9" t="str">
        <f>IF($A49="","",'Cobertura de Requisitos'!B49)</f>
        <v/>
      </c>
      <c r="C49" s="8" t="str">
        <f>IF($A49="","",IF('Cobertura de Requisitos'!E49&gt;0,"Si","No"))</f>
        <v/>
      </c>
      <c r="D49" s="8" t="str">
        <f>IF($A49="","",IF('Cobertura de Requisitos'!F49&gt;0,"Si","No"))</f>
        <v/>
      </c>
      <c r="E49" s="8" t="str">
        <f>IF($A49="","",IF('Cobertura de Requisitos'!G49&gt;0,"Si","No"))</f>
        <v/>
      </c>
      <c r="F49" s="8" t="str">
        <f>IF($A49="","",IF('Cobertura de Requisitos'!H49&gt;0,"Si","No"))</f>
        <v/>
      </c>
      <c r="G49" s="12" t="str">
        <f>IF($A49="","",'Cobertura de Requisitos'!J49)</f>
        <v/>
      </c>
      <c r="H49" s="9" t="str">
        <f>IF($A49="","",IF('Cobertura de Requisitos'!J49="Pendiente","Sin cobertura - requiere pruebas",IF('Cobertura de Requisitos'!J49="Parcial","Cobertura incompleta - revisar pruebas faltantes","Cobertura completa")))</f>
        <v/>
      </c>
    </row>
    <row r="50" ht="15.75" customHeight="1">
      <c r="A50" s="6" t="str">
        <f>IF('Cobertura de Requisitos'!A50="","",'Cobertura de Requisitos'!A50)</f>
        <v/>
      </c>
      <c r="B50" s="9" t="str">
        <f>IF($A50="","",'Cobertura de Requisitos'!B50)</f>
        <v/>
      </c>
      <c r="C50" s="8" t="str">
        <f>IF($A50="","",IF('Cobertura de Requisitos'!E50&gt;0,"Si","No"))</f>
        <v/>
      </c>
      <c r="D50" s="8" t="str">
        <f>IF($A50="","",IF('Cobertura de Requisitos'!F50&gt;0,"Si","No"))</f>
        <v/>
      </c>
      <c r="E50" s="8" t="str">
        <f>IF($A50="","",IF('Cobertura de Requisitos'!G50&gt;0,"Si","No"))</f>
        <v/>
      </c>
      <c r="F50" s="8" t="str">
        <f>IF($A50="","",IF('Cobertura de Requisitos'!H50&gt;0,"Si","No"))</f>
        <v/>
      </c>
      <c r="G50" s="12" t="str">
        <f>IF($A50="","",'Cobertura de Requisitos'!J50)</f>
        <v/>
      </c>
      <c r="H50" s="9" t="str">
        <f>IF($A50="","",IF('Cobertura de Requisitos'!J50="Pendiente","Sin cobertura - requiere pruebas",IF('Cobertura de Requisitos'!J50="Parcial","Cobertura incompleta - revisar pruebas faltantes","Cobertura completa")))</f>
        <v/>
      </c>
    </row>
    <row r="51" ht="15.75" customHeight="1">
      <c r="A51" s="6" t="str">
        <f>IF('Cobertura de Requisitos'!A51="","",'Cobertura de Requisitos'!A51)</f>
        <v/>
      </c>
      <c r="B51" s="9" t="str">
        <f>IF($A51="","",'Cobertura de Requisitos'!B51)</f>
        <v/>
      </c>
      <c r="C51" s="8" t="str">
        <f>IF($A51="","",IF('Cobertura de Requisitos'!E51&gt;0,"Si","No"))</f>
        <v/>
      </c>
      <c r="D51" s="8" t="str">
        <f>IF($A51="","",IF('Cobertura de Requisitos'!F51&gt;0,"Si","No"))</f>
        <v/>
      </c>
      <c r="E51" s="8" t="str">
        <f>IF($A51="","",IF('Cobertura de Requisitos'!G51&gt;0,"Si","No"))</f>
        <v/>
      </c>
      <c r="F51" s="8" t="str">
        <f>IF($A51="","",IF('Cobertura de Requisitos'!H51&gt;0,"Si","No"))</f>
        <v/>
      </c>
      <c r="G51" s="12" t="str">
        <f>IF($A51="","",'Cobertura de Requisitos'!J51)</f>
        <v/>
      </c>
      <c r="H51" s="9" t="str">
        <f>IF($A51="","",IF('Cobertura de Requisitos'!J51="Pendiente","Sin cobertura - requiere pruebas",IF('Cobertura de Requisitos'!J51="Parcial","Cobertura incompleta - revisar pruebas faltantes","Cobertura completa")))</f>
        <v/>
      </c>
    </row>
    <row r="52" ht="15.75" customHeight="1">
      <c r="A52" s="6" t="str">
        <f>IF('Cobertura de Requisitos'!A52="","",'Cobertura de Requisitos'!A52)</f>
        <v/>
      </c>
      <c r="B52" s="9" t="str">
        <f>IF($A52="","",'Cobertura de Requisitos'!B52)</f>
        <v/>
      </c>
      <c r="C52" s="8" t="str">
        <f>IF($A52="","",IF('Cobertura de Requisitos'!E52&gt;0,"Si","No"))</f>
        <v/>
      </c>
      <c r="D52" s="8" t="str">
        <f>IF($A52="","",IF('Cobertura de Requisitos'!F52&gt;0,"Si","No"))</f>
        <v/>
      </c>
      <c r="E52" s="8" t="str">
        <f>IF($A52="","",IF('Cobertura de Requisitos'!G52&gt;0,"Si","No"))</f>
        <v/>
      </c>
      <c r="F52" s="8" t="str">
        <f>IF($A52="","",IF('Cobertura de Requisitos'!H52&gt;0,"Si","No"))</f>
        <v/>
      </c>
      <c r="G52" s="12" t="str">
        <f>IF($A52="","",'Cobertura de Requisitos'!J52)</f>
        <v/>
      </c>
      <c r="H52" s="9" t="str">
        <f>IF($A52="","",IF('Cobertura de Requisitos'!J52="Pendiente","Sin cobertura - requiere pruebas",IF('Cobertura de Requisitos'!J52="Parcial","Cobertura incompleta - revisar pruebas faltantes","Cobertura completa")))</f>
        <v/>
      </c>
    </row>
    <row r="53" ht="15.75" customHeight="1">
      <c r="A53" s="6" t="str">
        <f>IF('Cobertura de Requisitos'!A53="","",'Cobertura de Requisitos'!A53)</f>
        <v/>
      </c>
      <c r="B53" s="9" t="str">
        <f>IF($A53="","",'Cobertura de Requisitos'!B53)</f>
        <v/>
      </c>
      <c r="C53" s="8" t="str">
        <f>IF($A53="","",IF('Cobertura de Requisitos'!E53&gt;0,"Si","No"))</f>
        <v/>
      </c>
      <c r="D53" s="8" t="str">
        <f>IF($A53="","",IF('Cobertura de Requisitos'!F53&gt;0,"Si","No"))</f>
        <v/>
      </c>
      <c r="E53" s="8" t="str">
        <f>IF($A53="","",IF('Cobertura de Requisitos'!G53&gt;0,"Si","No"))</f>
        <v/>
      </c>
      <c r="F53" s="8" t="str">
        <f>IF($A53="","",IF('Cobertura de Requisitos'!H53&gt;0,"Si","No"))</f>
        <v/>
      </c>
      <c r="G53" s="12" t="str">
        <f>IF($A53="","",'Cobertura de Requisitos'!J53)</f>
        <v/>
      </c>
      <c r="H53" s="9" t="str">
        <f>IF($A53="","",IF('Cobertura de Requisitos'!J53="Pendiente","Sin cobertura - requiere pruebas",IF('Cobertura de Requisitos'!J53="Parcial","Cobertura incompleta - revisar pruebas faltantes","Cobertura completa")))</f>
        <v/>
      </c>
    </row>
    <row r="54" ht="15.75" customHeight="1">
      <c r="A54" s="6" t="str">
        <f>IF('Cobertura de Requisitos'!A54="","",'Cobertura de Requisitos'!A54)</f>
        <v/>
      </c>
      <c r="B54" s="9" t="str">
        <f>IF($A54="","",'Cobertura de Requisitos'!B54)</f>
        <v/>
      </c>
      <c r="C54" s="8" t="str">
        <f>IF($A54="","",IF('Cobertura de Requisitos'!E54&gt;0,"Si","No"))</f>
        <v/>
      </c>
      <c r="D54" s="8" t="str">
        <f>IF($A54="","",IF('Cobertura de Requisitos'!F54&gt;0,"Si","No"))</f>
        <v/>
      </c>
      <c r="E54" s="8" t="str">
        <f>IF($A54="","",IF('Cobertura de Requisitos'!G54&gt;0,"Si","No"))</f>
        <v/>
      </c>
      <c r="F54" s="8" t="str">
        <f>IF($A54="","",IF('Cobertura de Requisitos'!H54&gt;0,"Si","No"))</f>
        <v/>
      </c>
      <c r="G54" s="12" t="str">
        <f>IF($A54="","",'Cobertura de Requisitos'!J54)</f>
        <v/>
      </c>
      <c r="H54" s="9" t="str">
        <f>IF($A54="","",IF('Cobertura de Requisitos'!J54="Pendiente","Sin cobertura - requiere pruebas",IF('Cobertura de Requisitos'!J54="Parcial","Cobertura incompleta - revisar pruebas faltantes","Cobertura completa")))</f>
        <v/>
      </c>
    </row>
    <row r="55" ht="15.75" customHeight="1">
      <c r="A55" s="6" t="str">
        <f>IF('Cobertura de Requisitos'!A55="","",'Cobertura de Requisitos'!A55)</f>
        <v/>
      </c>
      <c r="B55" s="9" t="str">
        <f>IF($A55="","",'Cobertura de Requisitos'!B55)</f>
        <v/>
      </c>
      <c r="C55" s="8" t="str">
        <f>IF($A55="","",IF('Cobertura de Requisitos'!E55&gt;0,"Si","No"))</f>
        <v/>
      </c>
      <c r="D55" s="8" t="str">
        <f>IF($A55="","",IF('Cobertura de Requisitos'!F55&gt;0,"Si","No"))</f>
        <v/>
      </c>
      <c r="E55" s="8" t="str">
        <f>IF($A55="","",IF('Cobertura de Requisitos'!G55&gt;0,"Si","No"))</f>
        <v/>
      </c>
      <c r="F55" s="8" t="str">
        <f>IF($A55="","",IF('Cobertura de Requisitos'!H55&gt;0,"Si","No"))</f>
        <v/>
      </c>
      <c r="G55" s="12" t="str">
        <f>IF($A55="","",'Cobertura de Requisitos'!J55)</f>
        <v/>
      </c>
      <c r="H55" s="9" t="str">
        <f>IF($A55="","",IF('Cobertura de Requisitos'!J55="Pendiente","Sin cobertura - requiere pruebas",IF('Cobertura de Requisitos'!J55="Parcial","Cobertura incompleta - revisar pruebas faltantes","Cobertura completa")))</f>
        <v/>
      </c>
    </row>
    <row r="56" ht="15.75" customHeight="1">
      <c r="A56" s="6" t="str">
        <f>IF('Cobertura de Requisitos'!A56="","",'Cobertura de Requisitos'!A56)</f>
        <v/>
      </c>
      <c r="B56" s="9" t="str">
        <f>IF($A56="","",'Cobertura de Requisitos'!B56)</f>
        <v/>
      </c>
      <c r="C56" s="8" t="str">
        <f>IF($A56="","",IF('Cobertura de Requisitos'!E56&gt;0,"Si","No"))</f>
        <v/>
      </c>
      <c r="D56" s="8" t="str">
        <f>IF($A56="","",IF('Cobertura de Requisitos'!F56&gt;0,"Si","No"))</f>
        <v/>
      </c>
      <c r="E56" s="8" t="str">
        <f>IF($A56="","",IF('Cobertura de Requisitos'!G56&gt;0,"Si","No"))</f>
        <v/>
      </c>
      <c r="F56" s="8" t="str">
        <f>IF($A56="","",IF('Cobertura de Requisitos'!H56&gt;0,"Si","No"))</f>
        <v/>
      </c>
      <c r="G56" s="12" t="str">
        <f>IF($A56="","",'Cobertura de Requisitos'!J56)</f>
        <v/>
      </c>
      <c r="H56" s="9" t="str">
        <f>IF($A56="","",IF('Cobertura de Requisitos'!J56="Pendiente","Sin cobertura - requiere pruebas",IF('Cobertura de Requisitos'!J56="Parcial","Cobertura incompleta - revisar pruebas faltantes","Cobertura completa")))</f>
        <v/>
      </c>
    </row>
    <row r="57" ht="15.75" customHeight="1">
      <c r="A57" s="6" t="str">
        <f>IF('Cobertura de Requisitos'!A57="","",'Cobertura de Requisitos'!A57)</f>
        <v/>
      </c>
      <c r="B57" s="9" t="str">
        <f>IF($A57="","",'Cobertura de Requisitos'!B57)</f>
        <v/>
      </c>
      <c r="C57" s="8" t="str">
        <f>IF($A57="","",IF('Cobertura de Requisitos'!E57&gt;0,"Si","No"))</f>
        <v/>
      </c>
      <c r="D57" s="8" t="str">
        <f>IF($A57="","",IF('Cobertura de Requisitos'!F57&gt;0,"Si","No"))</f>
        <v/>
      </c>
      <c r="E57" s="8" t="str">
        <f>IF($A57="","",IF('Cobertura de Requisitos'!G57&gt;0,"Si","No"))</f>
        <v/>
      </c>
      <c r="F57" s="8" t="str">
        <f>IF($A57="","",IF('Cobertura de Requisitos'!H57&gt;0,"Si","No"))</f>
        <v/>
      </c>
      <c r="G57" s="12" t="str">
        <f>IF($A57="","",'Cobertura de Requisitos'!J57)</f>
        <v/>
      </c>
      <c r="H57" s="9" t="str">
        <f>IF($A57="","",IF('Cobertura de Requisitos'!J57="Pendiente","Sin cobertura - requiere pruebas",IF('Cobertura de Requisitos'!J57="Parcial","Cobertura incompleta - revisar pruebas faltantes","Cobertura completa")))</f>
        <v/>
      </c>
    </row>
    <row r="58" ht="15.75" customHeight="1">
      <c r="A58" s="6" t="str">
        <f>IF('Cobertura de Requisitos'!A58="","",'Cobertura de Requisitos'!A58)</f>
        <v/>
      </c>
      <c r="B58" s="9" t="str">
        <f>IF($A58="","",'Cobertura de Requisitos'!B58)</f>
        <v/>
      </c>
      <c r="C58" s="8" t="str">
        <f>IF($A58="","",IF('Cobertura de Requisitos'!E58&gt;0,"Si","No"))</f>
        <v/>
      </c>
      <c r="D58" s="8" t="str">
        <f>IF($A58="","",IF('Cobertura de Requisitos'!F58&gt;0,"Si","No"))</f>
        <v/>
      </c>
      <c r="E58" s="8" t="str">
        <f>IF($A58="","",IF('Cobertura de Requisitos'!G58&gt;0,"Si","No"))</f>
        <v/>
      </c>
      <c r="F58" s="8" t="str">
        <f>IF($A58="","",IF('Cobertura de Requisitos'!H58&gt;0,"Si","No"))</f>
        <v/>
      </c>
      <c r="G58" s="12" t="str">
        <f>IF($A58="","",'Cobertura de Requisitos'!J58)</f>
        <v/>
      </c>
      <c r="H58" s="9" t="str">
        <f>IF($A58="","",IF('Cobertura de Requisitos'!J58="Pendiente","Sin cobertura - requiere pruebas",IF('Cobertura de Requisitos'!J58="Parcial","Cobertura incompleta - revisar pruebas faltantes","Cobertura completa")))</f>
        <v/>
      </c>
    </row>
    <row r="59" ht="15.75" customHeight="1">
      <c r="A59" s="6" t="str">
        <f>IF('Cobertura de Requisitos'!A59="","",'Cobertura de Requisitos'!A59)</f>
        <v/>
      </c>
      <c r="B59" s="9" t="str">
        <f>IF($A59="","",'Cobertura de Requisitos'!B59)</f>
        <v/>
      </c>
      <c r="C59" s="8" t="str">
        <f>IF($A59="","",IF('Cobertura de Requisitos'!E59&gt;0,"Si","No"))</f>
        <v/>
      </c>
      <c r="D59" s="8" t="str">
        <f>IF($A59="","",IF('Cobertura de Requisitos'!F59&gt;0,"Si","No"))</f>
        <v/>
      </c>
      <c r="E59" s="8" t="str">
        <f>IF($A59="","",IF('Cobertura de Requisitos'!G59&gt;0,"Si","No"))</f>
        <v/>
      </c>
      <c r="F59" s="8" t="str">
        <f>IF($A59="","",IF('Cobertura de Requisitos'!H59&gt;0,"Si","No"))</f>
        <v/>
      </c>
      <c r="G59" s="12" t="str">
        <f>IF($A59="","",'Cobertura de Requisitos'!J59)</f>
        <v/>
      </c>
      <c r="H59" s="9" t="str">
        <f>IF($A59="","",IF('Cobertura de Requisitos'!J59="Pendiente","Sin cobertura - requiere pruebas",IF('Cobertura de Requisitos'!J59="Parcial","Cobertura incompleta - revisar pruebas faltantes","Cobertura completa")))</f>
        <v/>
      </c>
    </row>
    <row r="60" ht="15.75" customHeight="1">
      <c r="A60" s="6" t="str">
        <f>IF('Cobertura de Requisitos'!A60="","",'Cobertura de Requisitos'!A60)</f>
        <v/>
      </c>
      <c r="B60" s="9" t="str">
        <f>IF($A60="","",'Cobertura de Requisitos'!B60)</f>
        <v/>
      </c>
      <c r="C60" s="8" t="str">
        <f>IF($A60="","",IF('Cobertura de Requisitos'!E60&gt;0,"Si","No"))</f>
        <v/>
      </c>
      <c r="D60" s="8" t="str">
        <f>IF($A60="","",IF('Cobertura de Requisitos'!F60&gt;0,"Si","No"))</f>
        <v/>
      </c>
      <c r="E60" s="8" t="str">
        <f>IF($A60="","",IF('Cobertura de Requisitos'!G60&gt;0,"Si","No"))</f>
        <v/>
      </c>
      <c r="F60" s="8" t="str">
        <f>IF($A60="","",IF('Cobertura de Requisitos'!H60&gt;0,"Si","No"))</f>
        <v/>
      </c>
      <c r="G60" s="12" t="str">
        <f>IF($A60="","",'Cobertura de Requisitos'!J60)</f>
        <v/>
      </c>
      <c r="H60" s="9" t="str">
        <f>IF($A60="","",IF('Cobertura de Requisitos'!J60="Pendiente","Sin cobertura - requiere pruebas",IF('Cobertura de Requisitos'!J60="Parcial","Cobertura incompleta - revisar pruebas faltantes","Cobertura completa")))</f>
        <v/>
      </c>
    </row>
    <row r="61" ht="15.75" customHeight="1">
      <c r="A61" s="6" t="str">
        <f>IF('Cobertura de Requisitos'!A61="","",'Cobertura de Requisitos'!A61)</f>
        <v/>
      </c>
      <c r="B61" s="9" t="str">
        <f>IF($A61="","",'Cobertura de Requisitos'!B61)</f>
        <v/>
      </c>
      <c r="C61" s="8" t="str">
        <f>IF($A61="","",IF('Cobertura de Requisitos'!E61&gt;0,"Si","No"))</f>
        <v/>
      </c>
      <c r="D61" s="8" t="str">
        <f>IF($A61="","",IF('Cobertura de Requisitos'!F61&gt;0,"Si","No"))</f>
        <v/>
      </c>
      <c r="E61" s="8" t="str">
        <f>IF($A61="","",IF('Cobertura de Requisitos'!G61&gt;0,"Si","No"))</f>
        <v/>
      </c>
      <c r="F61" s="8" t="str">
        <f>IF($A61="","",IF('Cobertura de Requisitos'!H61&gt;0,"Si","No"))</f>
        <v/>
      </c>
      <c r="G61" s="12" t="str">
        <f>IF($A61="","",'Cobertura de Requisitos'!J61)</f>
        <v/>
      </c>
      <c r="H61" s="9" t="str">
        <f>IF($A61="","",IF('Cobertura de Requisitos'!J61="Pendiente","Sin cobertura - requiere pruebas",IF('Cobertura de Requisitos'!J61="Parcial","Cobertura incompleta - revisar pruebas faltantes","Cobertura completa")))</f>
        <v/>
      </c>
    </row>
    <row r="62" ht="15.75" customHeight="1">
      <c r="A62" s="6" t="str">
        <f>IF('Cobertura de Requisitos'!A62="","",'Cobertura de Requisitos'!A62)</f>
        <v/>
      </c>
      <c r="B62" s="9" t="str">
        <f>IF($A62="","",'Cobertura de Requisitos'!B62)</f>
        <v/>
      </c>
      <c r="C62" s="8" t="str">
        <f>IF($A62="","",IF('Cobertura de Requisitos'!E62&gt;0,"Si","No"))</f>
        <v/>
      </c>
      <c r="D62" s="8" t="str">
        <f>IF($A62="","",IF('Cobertura de Requisitos'!F62&gt;0,"Si","No"))</f>
        <v/>
      </c>
      <c r="E62" s="8" t="str">
        <f>IF($A62="","",IF('Cobertura de Requisitos'!G62&gt;0,"Si","No"))</f>
        <v/>
      </c>
      <c r="F62" s="8" t="str">
        <f>IF($A62="","",IF('Cobertura de Requisitos'!H62&gt;0,"Si","No"))</f>
        <v/>
      </c>
      <c r="G62" s="12" t="str">
        <f>IF($A62="","",'Cobertura de Requisitos'!J62)</f>
        <v/>
      </c>
      <c r="H62" s="9" t="str">
        <f>IF($A62="","",IF('Cobertura de Requisitos'!J62="Pendiente","Sin cobertura - requiere pruebas",IF('Cobertura de Requisitos'!J62="Parcial","Cobertura incompleta - revisar pruebas faltantes","Cobertura completa")))</f>
        <v/>
      </c>
    </row>
    <row r="63" ht="15.75" customHeight="1">
      <c r="A63" s="6" t="str">
        <f>IF('Cobertura de Requisitos'!A63="","",'Cobertura de Requisitos'!A63)</f>
        <v/>
      </c>
      <c r="B63" s="9" t="str">
        <f>IF($A63="","",'Cobertura de Requisitos'!B63)</f>
        <v/>
      </c>
      <c r="C63" s="8" t="str">
        <f>IF($A63="","",IF('Cobertura de Requisitos'!E63&gt;0,"Si","No"))</f>
        <v/>
      </c>
      <c r="D63" s="8" t="str">
        <f>IF($A63="","",IF('Cobertura de Requisitos'!F63&gt;0,"Si","No"))</f>
        <v/>
      </c>
      <c r="E63" s="8" t="str">
        <f>IF($A63="","",IF('Cobertura de Requisitos'!G63&gt;0,"Si","No"))</f>
        <v/>
      </c>
      <c r="F63" s="8" t="str">
        <f>IF($A63="","",IF('Cobertura de Requisitos'!H63&gt;0,"Si","No"))</f>
        <v/>
      </c>
      <c r="G63" s="12" t="str">
        <f>IF($A63="","",'Cobertura de Requisitos'!J63)</f>
        <v/>
      </c>
      <c r="H63" s="9" t="str">
        <f>IF($A63="","",IF('Cobertura de Requisitos'!J63="Pendiente","Sin cobertura - requiere pruebas",IF('Cobertura de Requisitos'!J63="Parcial","Cobertura incompleta - revisar pruebas faltantes","Cobertura completa")))</f>
        <v/>
      </c>
    </row>
    <row r="64" ht="15.75" customHeight="1">
      <c r="A64" s="6" t="str">
        <f>IF('Cobertura de Requisitos'!A64="","",'Cobertura de Requisitos'!A64)</f>
        <v/>
      </c>
      <c r="B64" s="9" t="str">
        <f>IF($A64="","",'Cobertura de Requisitos'!B64)</f>
        <v/>
      </c>
      <c r="C64" s="8" t="str">
        <f>IF($A64="","",IF('Cobertura de Requisitos'!E64&gt;0,"Si","No"))</f>
        <v/>
      </c>
      <c r="D64" s="8" t="str">
        <f>IF($A64="","",IF('Cobertura de Requisitos'!F64&gt;0,"Si","No"))</f>
        <v/>
      </c>
      <c r="E64" s="8" t="str">
        <f>IF($A64="","",IF('Cobertura de Requisitos'!G64&gt;0,"Si","No"))</f>
        <v/>
      </c>
      <c r="F64" s="8" t="str">
        <f>IF($A64="","",IF('Cobertura de Requisitos'!H64&gt;0,"Si","No"))</f>
        <v/>
      </c>
      <c r="G64" s="12" t="str">
        <f>IF($A64="","",'Cobertura de Requisitos'!J64)</f>
        <v/>
      </c>
      <c r="H64" s="9" t="str">
        <f>IF($A64="","",IF('Cobertura de Requisitos'!J64="Pendiente","Sin cobertura - requiere pruebas",IF('Cobertura de Requisitos'!J64="Parcial","Cobertura incompleta - revisar pruebas faltantes","Cobertura completa")))</f>
        <v/>
      </c>
    </row>
    <row r="65" ht="15.75" customHeight="1">
      <c r="A65" s="6" t="str">
        <f>IF('Cobertura de Requisitos'!A65="","",'Cobertura de Requisitos'!A65)</f>
        <v/>
      </c>
      <c r="B65" s="9" t="str">
        <f>IF($A65="","",'Cobertura de Requisitos'!B65)</f>
        <v/>
      </c>
      <c r="C65" s="8" t="str">
        <f>IF($A65="","",IF('Cobertura de Requisitos'!E65&gt;0,"Si","No"))</f>
        <v/>
      </c>
      <c r="D65" s="8" t="str">
        <f>IF($A65="","",IF('Cobertura de Requisitos'!F65&gt;0,"Si","No"))</f>
        <v/>
      </c>
      <c r="E65" s="8" t="str">
        <f>IF($A65="","",IF('Cobertura de Requisitos'!G65&gt;0,"Si","No"))</f>
        <v/>
      </c>
      <c r="F65" s="8" t="str">
        <f>IF($A65="","",IF('Cobertura de Requisitos'!H65&gt;0,"Si","No"))</f>
        <v/>
      </c>
      <c r="G65" s="12" t="str">
        <f>IF($A65="","",'Cobertura de Requisitos'!J65)</f>
        <v/>
      </c>
      <c r="H65" s="9" t="str">
        <f>IF($A65="","",IF('Cobertura de Requisitos'!J65="Pendiente","Sin cobertura - requiere pruebas",IF('Cobertura de Requisitos'!J65="Parcial","Cobertura incompleta - revisar pruebas faltantes","Cobertura completa")))</f>
        <v/>
      </c>
    </row>
    <row r="66" ht="15.75" customHeight="1">
      <c r="A66" s="6" t="str">
        <f>IF('Cobertura de Requisitos'!A66="","",'Cobertura de Requisitos'!A66)</f>
        <v/>
      </c>
      <c r="B66" s="9" t="str">
        <f>IF($A66="","",'Cobertura de Requisitos'!B66)</f>
        <v/>
      </c>
      <c r="C66" s="8" t="str">
        <f>IF($A66="","",IF('Cobertura de Requisitos'!E66&gt;0,"Si","No"))</f>
        <v/>
      </c>
      <c r="D66" s="8" t="str">
        <f>IF($A66="","",IF('Cobertura de Requisitos'!F66&gt;0,"Si","No"))</f>
        <v/>
      </c>
      <c r="E66" s="8" t="str">
        <f>IF($A66="","",IF('Cobertura de Requisitos'!G66&gt;0,"Si","No"))</f>
        <v/>
      </c>
      <c r="F66" s="8" t="str">
        <f>IF($A66="","",IF('Cobertura de Requisitos'!H66&gt;0,"Si","No"))</f>
        <v/>
      </c>
      <c r="G66" s="12" t="str">
        <f>IF($A66="","",'Cobertura de Requisitos'!J66)</f>
        <v/>
      </c>
      <c r="H66" s="9" t="str">
        <f>IF($A66="","",IF('Cobertura de Requisitos'!J66="Pendiente","Sin cobertura - requiere pruebas",IF('Cobertura de Requisitos'!J66="Parcial","Cobertura incompleta - revisar pruebas faltantes","Cobertura completa")))</f>
        <v/>
      </c>
    </row>
    <row r="67" ht="15.75" customHeight="1">
      <c r="A67" s="6" t="str">
        <f>IF('Cobertura de Requisitos'!A67="","",'Cobertura de Requisitos'!A67)</f>
        <v/>
      </c>
      <c r="B67" s="9" t="str">
        <f>IF($A67="","",'Cobertura de Requisitos'!B67)</f>
        <v/>
      </c>
      <c r="C67" s="8" t="str">
        <f>IF($A67="","",IF('Cobertura de Requisitos'!E67&gt;0,"Si","No"))</f>
        <v/>
      </c>
      <c r="D67" s="8" t="str">
        <f>IF($A67="","",IF('Cobertura de Requisitos'!F67&gt;0,"Si","No"))</f>
        <v/>
      </c>
      <c r="E67" s="8" t="str">
        <f>IF($A67="","",IF('Cobertura de Requisitos'!G67&gt;0,"Si","No"))</f>
        <v/>
      </c>
      <c r="F67" s="8" t="str">
        <f>IF($A67="","",IF('Cobertura de Requisitos'!H67&gt;0,"Si","No"))</f>
        <v/>
      </c>
      <c r="G67" s="12" t="str">
        <f>IF($A67="","",'Cobertura de Requisitos'!J67)</f>
        <v/>
      </c>
      <c r="H67" s="9" t="str">
        <f>IF($A67="","",IF('Cobertura de Requisitos'!J67="Pendiente","Sin cobertura - requiere pruebas",IF('Cobertura de Requisitos'!J67="Parcial","Cobertura incompleta - revisar pruebas faltantes","Cobertura completa")))</f>
        <v/>
      </c>
    </row>
    <row r="68" ht="15.75" customHeight="1">
      <c r="A68" s="6" t="str">
        <f>IF('Cobertura de Requisitos'!A68="","",'Cobertura de Requisitos'!A68)</f>
        <v/>
      </c>
      <c r="B68" s="9" t="str">
        <f>IF($A68="","",'Cobertura de Requisitos'!B68)</f>
        <v/>
      </c>
      <c r="C68" s="8" t="str">
        <f>IF($A68="","",IF('Cobertura de Requisitos'!E68&gt;0,"Si","No"))</f>
        <v/>
      </c>
      <c r="D68" s="8" t="str">
        <f>IF($A68="","",IF('Cobertura de Requisitos'!F68&gt;0,"Si","No"))</f>
        <v/>
      </c>
      <c r="E68" s="8" t="str">
        <f>IF($A68="","",IF('Cobertura de Requisitos'!G68&gt;0,"Si","No"))</f>
        <v/>
      </c>
      <c r="F68" s="8" t="str">
        <f>IF($A68="","",IF('Cobertura de Requisitos'!H68&gt;0,"Si","No"))</f>
        <v/>
      </c>
      <c r="G68" s="12" t="str">
        <f>IF($A68="","",'Cobertura de Requisitos'!J68)</f>
        <v/>
      </c>
      <c r="H68" s="9" t="str">
        <f>IF($A68="","",IF('Cobertura de Requisitos'!J68="Pendiente","Sin cobertura - requiere pruebas",IF('Cobertura de Requisitos'!J68="Parcial","Cobertura incompleta - revisar pruebas faltantes","Cobertura completa")))</f>
        <v/>
      </c>
    </row>
    <row r="69" ht="15.75" customHeight="1">
      <c r="A69" s="6" t="str">
        <f>IF('Cobertura de Requisitos'!A69="","",'Cobertura de Requisitos'!A69)</f>
        <v/>
      </c>
      <c r="B69" s="9" t="str">
        <f>IF($A69="","",'Cobertura de Requisitos'!B69)</f>
        <v/>
      </c>
      <c r="C69" s="8" t="str">
        <f>IF($A69="","",IF('Cobertura de Requisitos'!E69&gt;0,"Si","No"))</f>
        <v/>
      </c>
      <c r="D69" s="8" t="str">
        <f>IF($A69="","",IF('Cobertura de Requisitos'!F69&gt;0,"Si","No"))</f>
        <v/>
      </c>
      <c r="E69" s="8" t="str">
        <f>IF($A69="","",IF('Cobertura de Requisitos'!G69&gt;0,"Si","No"))</f>
        <v/>
      </c>
      <c r="F69" s="8" t="str">
        <f>IF($A69="","",IF('Cobertura de Requisitos'!H69&gt;0,"Si","No"))</f>
        <v/>
      </c>
      <c r="G69" s="12" t="str">
        <f>IF($A69="","",'Cobertura de Requisitos'!J69)</f>
        <v/>
      </c>
      <c r="H69" s="9" t="str">
        <f>IF($A69="","",IF('Cobertura de Requisitos'!J69="Pendiente","Sin cobertura - requiere pruebas",IF('Cobertura de Requisitos'!J69="Parcial","Cobertura incompleta - revisar pruebas faltantes","Cobertura completa")))</f>
        <v/>
      </c>
    </row>
    <row r="70" ht="15.75" customHeight="1">
      <c r="A70" s="6" t="str">
        <f>IF('Cobertura de Requisitos'!A70="","",'Cobertura de Requisitos'!A70)</f>
        <v/>
      </c>
      <c r="B70" s="9" t="str">
        <f>IF($A70="","",'Cobertura de Requisitos'!B70)</f>
        <v/>
      </c>
      <c r="C70" s="8" t="str">
        <f>IF($A70="","",IF('Cobertura de Requisitos'!E70&gt;0,"Si","No"))</f>
        <v/>
      </c>
      <c r="D70" s="8" t="str">
        <f>IF($A70="","",IF('Cobertura de Requisitos'!F70&gt;0,"Si","No"))</f>
        <v/>
      </c>
      <c r="E70" s="8" t="str">
        <f>IF($A70="","",IF('Cobertura de Requisitos'!G70&gt;0,"Si","No"))</f>
        <v/>
      </c>
      <c r="F70" s="8" t="str">
        <f>IF($A70="","",IF('Cobertura de Requisitos'!H70&gt;0,"Si","No"))</f>
        <v/>
      </c>
      <c r="G70" s="12" t="str">
        <f>IF($A70="","",'Cobertura de Requisitos'!J70)</f>
        <v/>
      </c>
      <c r="H70" s="9" t="str">
        <f>IF($A70="","",IF('Cobertura de Requisitos'!J70="Pendiente","Sin cobertura - requiere pruebas",IF('Cobertura de Requisitos'!J70="Parcial","Cobertura incompleta - revisar pruebas faltantes","Cobertura completa")))</f>
        <v/>
      </c>
    </row>
    <row r="71" ht="15.75" customHeight="1">
      <c r="A71" s="6" t="str">
        <f>IF('Cobertura de Requisitos'!A71="","",'Cobertura de Requisitos'!A71)</f>
        <v/>
      </c>
      <c r="B71" s="9" t="str">
        <f>IF($A71="","",'Cobertura de Requisitos'!B71)</f>
        <v/>
      </c>
      <c r="C71" s="8" t="str">
        <f>IF($A71="","",IF('Cobertura de Requisitos'!E71&gt;0,"Si","No"))</f>
        <v/>
      </c>
      <c r="D71" s="8" t="str">
        <f>IF($A71="","",IF('Cobertura de Requisitos'!F71&gt;0,"Si","No"))</f>
        <v/>
      </c>
      <c r="E71" s="8" t="str">
        <f>IF($A71="","",IF('Cobertura de Requisitos'!G71&gt;0,"Si","No"))</f>
        <v/>
      </c>
      <c r="F71" s="8" t="str">
        <f>IF($A71="","",IF('Cobertura de Requisitos'!H71&gt;0,"Si","No"))</f>
        <v/>
      </c>
      <c r="G71" s="12" t="str">
        <f>IF($A71="","",'Cobertura de Requisitos'!J71)</f>
        <v/>
      </c>
      <c r="H71" s="9" t="str">
        <f>IF($A71="","",IF('Cobertura de Requisitos'!J71="Pendiente","Sin cobertura - requiere pruebas",IF('Cobertura de Requisitos'!J71="Parcial","Cobertura incompleta - revisar pruebas faltantes","Cobertura completa")))</f>
        <v/>
      </c>
    </row>
    <row r="72" ht="15.75" customHeight="1">
      <c r="A72" s="6" t="str">
        <f>IF('Cobertura de Requisitos'!A72="","",'Cobertura de Requisitos'!A72)</f>
        <v/>
      </c>
      <c r="B72" s="9" t="str">
        <f>IF($A72="","",'Cobertura de Requisitos'!B72)</f>
        <v/>
      </c>
      <c r="C72" s="8" t="str">
        <f>IF($A72="","",IF('Cobertura de Requisitos'!E72&gt;0,"Si","No"))</f>
        <v/>
      </c>
      <c r="D72" s="8" t="str">
        <f>IF($A72="","",IF('Cobertura de Requisitos'!F72&gt;0,"Si","No"))</f>
        <v/>
      </c>
      <c r="E72" s="8" t="str">
        <f>IF($A72="","",IF('Cobertura de Requisitos'!G72&gt;0,"Si","No"))</f>
        <v/>
      </c>
      <c r="F72" s="8" t="str">
        <f>IF($A72="","",IF('Cobertura de Requisitos'!H72&gt;0,"Si","No"))</f>
        <v/>
      </c>
      <c r="G72" s="12" t="str">
        <f>IF($A72="","",'Cobertura de Requisitos'!J72)</f>
        <v/>
      </c>
      <c r="H72" s="9" t="str">
        <f>IF($A72="","",IF('Cobertura de Requisitos'!J72="Pendiente","Sin cobertura - requiere pruebas",IF('Cobertura de Requisitos'!J72="Parcial","Cobertura incompleta - revisar pruebas faltantes","Cobertura completa")))</f>
        <v/>
      </c>
    </row>
    <row r="73" ht="15.75" customHeight="1">
      <c r="A73" s="6" t="str">
        <f>IF('Cobertura de Requisitos'!A73="","",'Cobertura de Requisitos'!A73)</f>
        <v/>
      </c>
      <c r="B73" s="9" t="str">
        <f>IF($A73="","",'Cobertura de Requisitos'!B73)</f>
        <v/>
      </c>
      <c r="C73" s="8" t="str">
        <f>IF($A73="","",IF('Cobertura de Requisitos'!E73&gt;0,"Si","No"))</f>
        <v/>
      </c>
      <c r="D73" s="8" t="str">
        <f>IF($A73="","",IF('Cobertura de Requisitos'!F73&gt;0,"Si","No"))</f>
        <v/>
      </c>
      <c r="E73" s="8" t="str">
        <f>IF($A73="","",IF('Cobertura de Requisitos'!G73&gt;0,"Si","No"))</f>
        <v/>
      </c>
      <c r="F73" s="8" t="str">
        <f>IF($A73="","",IF('Cobertura de Requisitos'!H73&gt;0,"Si","No"))</f>
        <v/>
      </c>
      <c r="G73" s="12" t="str">
        <f>IF($A73="","",'Cobertura de Requisitos'!J73)</f>
        <v/>
      </c>
      <c r="H73" s="9" t="str">
        <f>IF($A73="","",IF('Cobertura de Requisitos'!J73="Pendiente","Sin cobertura - requiere pruebas",IF('Cobertura de Requisitos'!J73="Parcial","Cobertura incompleta - revisar pruebas faltantes","Cobertura completa")))</f>
        <v/>
      </c>
    </row>
    <row r="74" ht="15.75" customHeight="1">
      <c r="A74" s="6" t="str">
        <f>IF('Cobertura de Requisitos'!A74="","",'Cobertura de Requisitos'!A74)</f>
        <v/>
      </c>
      <c r="B74" s="9" t="str">
        <f>IF($A74="","",'Cobertura de Requisitos'!B74)</f>
        <v/>
      </c>
      <c r="C74" s="8" t="str">
        <f>IF($A74="","",IF('Cobertura de Requisitos'!E74&gt;0,"Si","No"))</f>
        <v/>
      </c>
      <c r="D74" s="8" t="str">
        <f>IF($A74="","",IF('Cobertura de Requisitos'!F74&gt;0,"Si","No"))</f>
        <v/>
      </c>
      <c r="E74" s="8" t="str">
        <f>IF($A74="","",IF('Cobertura de Requisitos'!G74&gt;0,"Si","No"))</f>
        <v/>
      </c>
      <c r="F74" s="8" t="str">
        <f>IF($A74="","",IF('Cobertura de Requisitos'!H74&gt;0,"Si","No"))</f>
        <v/>
      </c>
      <c r="G74" s="12" t="str">
        <f>IF($A74="","",'Cobertura de Requisitos'!J74)</f>
        <v/>
      </c>
      <c r="H74" s="9" t="str">
        <f>IF($A74="","",IF('Cobertura de Requisitos'!J74="Pendiente","Sin cobertura - requiere pruebas",IF('Cobertura de Requisitos'!J74="Parcial","Cobertura incompleta - revisar pruebas faltantes","Cobertura completa")))</f>
        <v/>
      </c>
    </row>
    <row r="75" ht="15.75" customHeight="1">
      <c r="A75" s="6" t="str">
        <f>IF('Cobertura de Requisitos'!A75="","",'Cobertura de Requisitos'!A75)</f>
        <v/>
      </c>
      <c r="B75" s="9" t="str">
        <f>IF($A75="","",'Cobertura de Requisitos'!B75)</f>
        <v/>
      </c>
      <c r="C75" s="8" t="str">
        <f>IF($A75="","",IF('Cobertura de Requisitos'!E75&gt;0,"Si","No"))</f>
        <v/>
      </c>
      <c r="D75" s="8" t="str">
        <f>IF($A75="","",IF('Cobertura de Requisitos'!F75&gt;0,"Si","No"))</f>
        <v/>
      </c>
      <c r="E75" s="8" t="str">
        <f>IF($A75="","",IF('Cobertura de Requisitos'!G75&gt;0,"Si","No"))</f>
        <v/>
      </c>
      <c r="F75" s="8" t="str">
        <f>IF($A75="","",IF('Cobertura de Requisitos'!H75&gt;0,"Si","No"))</f>
        <v/>
      </c>
      <c r="G75" s="12" t="str">
        <f>IF($A75="","",'Cobertura de Requisitos'!J75)</f>
        <v/>
      </c>
      <c r="H75" s="9" t="str">
        <f>IF($A75="","",IF('Cobertura de Requisitos'!J75="Pendiente","Sin cobertura - requiere pruebas",IF('Cobertura de Requisitos'!J75="Parcial","Cobertura incompleta - revisar pruebas faltantes","Cobertura completa")))</f>
        <v/>
      </c>
    </row>
    <row r="76" ht="15.75" customHeight="1">
      <c r="A76" s="6" t="str">
        <f>IF('Cobertura de Requisitos'!A76="","",'Cobertura de Requisitos'!A76)</f>
        <v/>
      </c>
      <c r="B76" s="9" t="str">
        <f>IF($A76="","",'Cobertura de Requisitos'!B76)</f>
        <v/>
      </c>
      <c r="C76" s="8" t="str">
        <f>IF($A76="","",IF('Cobertura de Requisitos'!E76&gt;0,"Si","No"))</f>
        <v/>
      </c>
      <c r="D76" s="8" t="str">
        <f>IF($A76="","",IF('Cobertura de Requisitos'!F76&gt;0,"Si","No"))</f>
        <v/>
      </c>
      <c r="E76" s="8" t="str">
        <f>IF($A76="","",IF('Cobertura de Requisitos'!G76&gt;0,"Si","No"))</f>
        <v/>
      </c>
      <c r="F76" s="8" t="str">
        <f>IF($A76="","",IF('Cobertura de Requisitos'!H76&gt;0,"Si","No"))</f>
        <v/>
      </c>
      <c r="G76" s="12" t="str">
        <f>IF($A76="","",'Cobertura de Requisitos'!J76)</f>
        <v/>
      </c>
      <c r="H76" s="9" t="str">
        <f>IF($A76="","",IF('Cobertura de Requisitos'!J76="Pendiente","Sin cobertura - requiere pruebas",IF('Cobertura de Requisitos'!J76="Parcial","Cobertura incompleta - revisar pruebas faltantes","Cobertura completa")))</f>
        <v/>
      </c>
    </row>
    <row r="77" ht="15.75" customHeight="1">
      <c r="A77" s="6" t="str">
        <f>IF('Cobertura de Requisitos'!A77="","",'Cobertura de Requisitos'!A77)</f>
        <v/>
      </c>
      <c r="B77" s="9" t="str">
        <f>IF($A77="","",'Cobertura de Requisitos'!B77)</f>
        <v/>
      </c>
      <c r="C77" s="8" t="str">
        <f>IF($A77="","",IF('Cobertura de Requisitos'!E77&gt;0,"Si","No"))</f>
        <v/>
      </c>
      <c r="D77" s="8" t="str">
        <f>IF($A77="","",IF('Cobertura de Requisitos'!F77&gt;0,"Si","No"))</f>
        <v/>
      </c>
      <c r="E77" s="8" t="str">
        <f>IF($A77="","",IF('Cobertura de Requisitos'!G77&gt;0,"Si","No"))</f>
        <v/>
      </c>
      <c r="F77" s="8" t="str">
        <f>IF($A77="","",IF('Cobertura de Requisitos'!H77&gt;0,"Si","No"))</f>
        <v/>
      </c>
      <c r="G77" s="12" t="str">
        <f>IF($A77="","",'Cobertura de Requisitos'!J77)</f>
        <v/>
      </c>
      <c r="H77" s="9" t="str">
        <f>IF($A77="","",IF('Cobertura de Requisitos'!J77="Pendiente","Sin cobertura - requiere pruebas",IF('Cobertura de Requisitos'!J77="Parcial","Cobertura incompleta - revisar pruebas faltantes","Cobertura completa")))</f>
        <v/>
      </c>
    </row>
    <row r="78" ht="15.75" customHeight="1">
      <c r="A78" s="6" t="str">
        <f>IF('Cobertura de Requisitos'!A78="","",'Cobertura de Requisitos'!A78)</f>
        <v/>
      </c>
      <c r="B78" s="9" t="str">
        <f>IF($A78="","",'Cobertura de Requisitos'!B78)</f>
        <v/>
      </c>
      <c r="C78" s="8" t="str">
        <f>IF($A78="","",IF('Cobertura de Requisitos'!E78&gt;0,"Si","No"))</f>
        <v/>
      </c>
      <c r="D78" s="8" t="str">
        <f>IF($A78="","",IF('Cobertura de Requisitos'!F78&gt;0,"Si","No"))</f>
        <v/>
      </c>
      <c r="E78" s="8" t="str">
        <f>IF($A78="","",IF('Cobertura de Requisitos'!G78&gt;0,"Si","No"))</f>
        <v/>
      </c>
      <c r="F78" s="8" t="str">
        <f>IF($A78="","",IF('Cobertura de Requisitos'!H78&gt;0,"Si","No"))</f>
        <v/>
      </c>
      <c r="G78" s="12" t="str">
        <f>IF($A78="","",'Cobertura de Requisitos'!J78)</f>
        <v/>
      </c>
      <c r="H78" s="9" t="str">
        <f>IF($A78="","",IF('Cobertura de Requisitos'!J78="Pendiente","Sin cobertura - requiere pruebas",IF('Cobertura de Requisitos'!J78="Parcial","Cobertura incompleta - revisar pruebas faltantes","Cobertura completa")))</f>
        <v/>
      </c>
    </row>
    <row r="79" ht="15.75" customHeight="1">
      <c r="A79" s="6" t="str">
        <f>IF('Cobertura de Requisitos'!A79="","",'Cobertura de Requisitos'!A79)</f>
        <v/>
      </c>
      <c r="B79" s="9" t="str">
        <f>IF($A79="","",'Cobertura de Requisitos'!B79)</f>
        <v/>
      </c>
      <c r="C79" s="8" t="str">
        <f>IF($A79="","",IF('Cobertura de Requisitos'!E79&gt;0,"Si","No"))</f>
        <v/>
      </c>
      <c r="D79" s="8" t="str">
        <f>IF($A79="","",IF('Cobertura de Requisitos'!F79&gt;0,"Si","No"))</f>
        <v/>
      </c>
      <c r="E79" s="8" t="str">
        <f>IF($A79="","",IF('Cobertura de Requisitos'!G79&gt;0,"Si","No"))</f>
        <v/>
      </c>
      <c r="F79" s="8" t="str">
        <f>IF($A79="","",IF('Cobertura de Requisitos'!H79&gt;0,"Si","No"))</f>
        <v/>
      </c>
      <c r="G79" s="12" t="str">
        <f>IF($A79="","",'Cobertura de Requisitos'!J79)</f>
        <v/>
      </c>
      <c r="H79" s="9" t="str">
        <f>IF($A79="","",IF('Cobertura de Requisitos'!J79="Pendiente","Sin cobertura - requiere pruebas",IF('Cobertura de Requisitos'!J79="Parcial","Cobertura incompleta - revisar pruebas faltantes","Cobertura completa")))</f>
        <v/>
      </c>
    </row>
    <row r="80" ht="15.75" customHeight="1">
      <c r="A80" s="6" t="str">
        <f>IF('Cobertura de Requisitos'!A80="","",'Cobertura de Requisitos'!A80)</f>
        <v/>
      </c>
      <c r="B80" s="9" t="str">
        <f>IF($A80="","",'Cobertura de Requisitos'!B80)</f>
        <v/>
      </c>
      <c r="C80" s="8" t="str">
        <f>IF($A80="","",IF('Cobertura de Requisitos'!E80&gt;0,"Si","No"))</f>
        <v/>
      </c>
      <c r="D80" s="8" t="str">
        <f>IF($A80="","",IF('Cobertura de Requisitos'!F80&gt;0,"Si","No"))</f>
        <v/>
      </c>
      <c r="E80" s="8" t="str">
        <f>IF($A80="","",IF('Cobertura de Requisitos'!G80&gt;0,"Si","No"))</f>
        <v/>
      </c>
      <c r="F80" s="8" t="str">
        <f>IF($A80="","",IF('Cobertura de Requisitos'!H80&gt;0,"Si","No"))</f>
        <v/>
      </c>
      <c r="G80" s="12" t="str">
        <f>IF($A80="","",'Cobertura de Requisitos'!J80)</f>
        <v/>
      </c>
      <c r="H80" s="9" t="str">
        <f>IF($A80="","",IF('Cobertura de Requisitos'!J80="Pendiente","Sin cobertura - requiere pruebas",IF('Cobertura de Requisitos'!J80="Parcial","Cobertura incompleta - revisar pruebas faltantes","Cobertura completa")))</f>
        <v/>
      </c>
    </row>
    <row r="81" ht="15.75" customHeight="1">
      <c r="A81" s="6" t="str">
        <f>IF('Cobertura de Requisitos'!A81="","",'Cobertura de Requisitos'!A81)</f>
        <v/>
      </c>
      <c r="B81" s="9" t="str">
        <f>IF($A81="","",'Cobertura de Requisitos'!B81)</f>
        <v/>
      </c>
      <c r="C81" s="8" t="str">
        <f>IF($A81="","",IF('Cobertura de Requisitos'!E81&gt;0,"Si","No"))</f>
        <v/>
      </c>
      <c r="D81" s="8" t="str">
        <f>IF($A81="","",IF('Cobertura de Requisitos'!F81&gt;0,"Si","No"))</f>
        <v/>
      </c>
      <c r="E81" s="8" t="str">
        <f>IF($A81="","",IF('Cobertura de Requisitos'!G81&gt;0,"Si","No"))</f>
        <v/>
      </c>
      <c r="F81" s="8" t="str">
        <f>IF($A81="","",IF('Cobertura de Requisitos'!H81&gt;0,"Si","No"))</f>
        <v/>
      </c>
      <c r="G81" s="12" t="str">
        <f>IF($A81="","",'Cobertura de Requisitos'!J81)</f>
        <v/>
      </c>
      <c r="H81" s="9" t="str">
        <f>IF($A81="","",IF('Cobertura de Requisitos'!J81="Pendiente","Sin cobertura - requiere pruebas",IF('Cobertura de Requisitos'!J81="Parcial","Cobertura incompleta - revisar pruebas faltantes","Cobertura completa")))</f>
        <v/>
      </c>
    </row>
    <row r="82" ht="15.75" customHeight="1">
      <c r="A82" s="6" t="str">
        <f>IF('Cobertura de Requisitos'!A82="","",'Cobertura de Requisitos'!A82)</f>
        <v/>
      </c>
      <c r="B82" s="9" t="str">
        <f>IF($A82="","",'Cobertura de Requisitos'!B82)</f>
        <v/>
      </c>
      <c r="C82" s="8" t="str">
        <f>IF($A82="","",IF('Cobertura de Requisitos'!E82&gt;0,"Si","No"))</f>
        <v/>
      </c>
      <c r="D82" s="8" t="str">
        <f>IF($A82="","",IF('Cobertura de Requisitos'!F82&gt;0,"Si","No"))</f>
        <v/>
      </c>
      <c r="E82" s="8" t="str">
        <f>IF($A82="","",IF('Cobertura de Requisitos'!G82&gt;0,"Si","No"))</f>
        <v/>
      </c>
      <c r="F82" s="8" t="str">
        <f>IF($A82="","",IF('Cobertura de Requisitos'!H82&gt;0,"Si","No"))</f>
        <v/>
      </c>
      <c r="G82" s="12" t="str">
        <f>IF($A82="","",'Cobertura de Requisitos'!J82)</f>
        <v/>
      </c>
      <c r="H82" s="9" t="str">
        <f>IF($A82="","",IF('Cobertura de Requisitos'!J82="Pendiente","Sin cobertura - requiere pruebas",IF('Cobertura de Requisitos'!J82="Parcial","Cobertura incompleta - revisar pruebas faltantes","Cobertura completa")))</f>
        <v/>
      </c>
    </row>
    <row r="83" ht="15.75" customHeight="1">
      <c r="A83" s="6" t="str">
        <f>IF('Cobertura de Requisitos'!A83="","",'Cobertura de Requisitos'!A83)</f>
        <v/>
      </c>
      <c r="B83" s="9" t="str">
        <f>IF($A83="","",'Cobertura de Requisitos'!B83)</f>
        <v/>
      </c>
      <c r="C83" s="8" t="str">
        <f>IF($A83="","",IF('Cobertura de Requisitos'!E83&gt;0,"Si","No"))</f>
        <v/>
      </c>
      <c r="D83" s="8" t="str">
        <f>IF($A83="","",IF('Cobertura de Requisitos'!F83&gt;0,"Si","No"))</f>
        <v/>
      </c>
      <c r="E83" s="8" t="str">
        <f>IF($A83="","",IF('Cobertura de Requisitos'!G83&gt;0,"Si","No"))</f>
        <v/>
      </c>
      <c r="F83" s="8" t="str">
        <f>IF($A83="","",IF('Cobertura de Requisitos'!H83&gt;0,"Si","No"))</f>
        <v/>
      </c>
      <c r="G83" s="12" t="str">
        <f>IF($A83="","",'Cobertura de Requisitos'!J83)</f>
        <v/>
      </c>
      <c r="H83" s="9" t="str">
        <f>IF($A83="","",IF('Cobertura de Requisitos'!J83="Pendiente","Sin cobertura - requiere pruebas",IF('Cobertura de Requisitos'!J83="Parcial","Cobertura incompleta - revisar pruebas faltantes","Cobertura completa")))</f>
        <v/>
      </c>
    </row>
    <row r="84" ht="15.75" customHeight="1">
      <c r="A84" s="6" t="str">
        <f>IF('Cobertura de Requisitos'!A84="","",'Cobertura de Requisitos'!A84)</f>
        <v/>
      </c>
      <c r="B84" s="9" t="str">
        <f>IF($A84="","",'Cobertura de Requisitos'!B84)</f>
        <v/>
      </c>
      <c r="C84" s="8" t="str">
        <f>IF($A84="","",IF('Cobertura de Requisitos'!E84&gt;0,"Si","No"))</f>
        <v/>
      </c>
      <c r="D84" s="8" t="str">
        <f>IF($A84="","",IF('Cobertura de Requisitos'!F84&gt;0,"Si","No"))</f>
        <v/>
      </c>
      <c r="E84" s="8" t="str">
        <f>IF($A84="","",IF('Cobertura de Requisitos'!G84&gt;0,"Si","No"))</f>
        <v/>
      </c>
      <c r="F84" s="8" t="str">
        <f>IF($A84="","",IF('Cobertura de Requisitos'!H84&gt;0,"Si","No"))</f>
        <v/>
      </c>
      <c r="G84" s="12" t="str">
        <f>IF($A84="","",'Cobertura de Requisitos'!J84)</f>
        <v/>
      </c>
      <c r="H84" s="9" t="str">
        <f>IF($A84="","",IF('Cobertura de Requisitos'!J84="Pendiente","Sin cobertura - requiere pruebas",IF('Cobertura de Requisitos'!J84="Parcial","Cobertura incompleta - revisar pruebas faltantes","Cobertura completa")))</f>
        <v/>
      </c>
    </row>
    <row r="85" ht="15.75" customHeight="1">
      <c r="A85" s="6" t="str">
        <f>IF('Cobertura de Requisitos'!A85="","",'Cobertura de Requisitos'!A85)</f>
        <v/>
      </c>
      <c r="B85" s="9" t="str">
        <f>IF($A85="","",'Cobertura de Requisitos'!B85)</f>
        <v/>
      </c>
      <c r="C85" s="8" t="str">
        <f>IF($A85="","",IF('Cobertura de Requisitos'!E85&gt;0,"Si","No"))</f>
        <v/>
      </c>
      <c r="D85" s="8" t="str">
        <f>IF($A85="","",IF('Cobertura de Requisitos'!F85&gt;0,"Si","No"))</f>
        <v/>
      </c>
      <c r="E85" s="8" t="str">
        <f>IF($A85="","",IF('Cobertura de Requisitos'!G85&gt;0,"Si","No"))</f>
        <v/>
      </c>
      <c r="F85" s="8" t="str">
        <f>IF($A85="","",IF('Cobertura de Requisitos'!H85&gt;0,"Si","No"))</f>
        <v/>
      </c>
      <c r="G85" s="12" t="str">
        <f>IF($A85="","",'Cobertura de Requisitos'!J85)</f>
        <v/>
      </c>
      <c r="H85" s="9" t="str">
        <f>IF($A85="","",IF('Cobertura de Requisitos'!J85="Pendiente","Sin cobertura - requiere pruebas",IF('Cobertura de Requisitos'!J85="Parcial","Cobertura incompleta - revisar pruebas faltantes","Cobertura completa")))</f>
        <v/>
      </c>
    </row>
    <row r="86" ht="15.75" customHeight="1">
      <c r="A86" s="6" t="str">
        <f>IF('Cobertura de Requisitos'!A86="","",'Cobertura de Requisitos'!A86)</f>
        <v/>
      </c>
      <c r="B86" s="9" t="str">
        <f>IF($A86="","",'Cobertura de Requisitos'!B86)</f>
        <v/>
      </c>
      <c r="C86" s="8" t="str">
        <f>IF($A86="","",IF('Cobertura de Requisitos'!E86&gt;0,"Si","No"))</f>
        <v/>
      </c>
      <c r="D86" s="8" t="str">
        <f>IF($A86="","",IF('Cobertura de Requisitos'!F86&gt;0,"Si","No"))</f>
        <v/>
      </c>
      <c r="E86" s="8" t="str">
        <f>IF($A86="","",IF('Cobertura de Requisitos'!G86&gt;0,"Si","No"))</f>
        <v/>
      </c>
      <c r="F86" s="8" t="str">
        <f>IF($A86="","",IF('Cobertura de Requisitos'!H86&gt;0,"Si","No"))</f>
        <v/>
      </c>
      <c r="G86" s="12" t="str">
        <f>IF($A86="","",'Cobertura de Requisitos'!J86)</f>
        <v/>
      </c>
      <c r="H86" s="9" t="str">
        <f>IF($A86="","",IF('Cobertura de Requisitos'!J86="Pendiente","Sin cobertura - requiere pruebas",IF('Cobertura de Requisitos'!J86="Parcial","Cobertura incompleta - revisar pruebas faltantes","Cobertura completa")))</f>
        <v/>
      </c>
    </row>
    <row r="87" ht="15.75" customHeight="1">
      <c r="A87" s="6" t="str">
        <f>IF('Cobertura de Requisitos'!A87="","",'Cobertura de Requisitos'!A87)</f>
        <v/>
      </c>
      <c r="B87" s="9" t="str">
        <f>IF($A87="","",'Cobertura de Requisitos'!B87)</f>
        <v/>
      </c>
      <c r="C87" s="8" t="str">
        <f>IF($A87="","",IF('Cobertura de Requisitos'!E87&gt;0,"Si","No"))</f>
        <v/>
      </c>
      <c r="D87" s="8" t="str">
        <f>IF($A87="","",IF('Cobertura de Requisitos'!F87&gt;0,"Si","No"))</f>
        <v/>
      </c>
      <c r="E87" s="8" t="str">
        <f>IF($A87="","",IF('Cobertura de Requisitos'!G87&gt;0,"Si","No"))</f>
        <v/>
      </c>
      <c r="F87" s="8" t="str">
        <f>IF($A87="","",IF('Cobertura de Requisitos'!H87&gt;0,"Si","No"))</f>
        <v/>
      </c>
      <c r="G87" s="12" t="str">
        <f>IF($A87="","",'Cobertura de Requisitos'!J87)</f>
        <v/>
      </c>
      <c r="H87" s="9" t="str">
        <f>IF($A87="","",IF('Cobertura de Requisitos'!J87="Pendiente","Sin cobertura - requiere pruebas",IF('Cobertura de Requisitos'!J87="Parcial","Cobertura incompleta - revisar pruebas faltantes","Cobertura completa")))</f>
        <v/>
      </c>
    </row>
    <row r="88" ht="15.75" customHeight="1">
      <c r="A88" s="6" t="str">
        <f>IF('Cobertura de Requisitos'!A88="","",'Cobertura de Requisitos'!A88)</f>
        <v/>
      </c>
      <c r="B88" s="9" t="str">
        <f>IF($A88="","",'Cobertura de Requisitos'!B88)</f>
        <v/>
      </c>
      <c r="C88" s="8" t="str">
        <f>IF($A88="","",IF('Cobertura de Requisitos'!E88&gt;0,"Si","No"))</f>
        <v/>
      </c>
      <c r="D88" s="8" t="str">
        <f>IF($A88="","",IF('Cobertura de Requisitos'!F88&gt;0,"Si","No"))</f>
        <v/>
      </c>
      <c r="E88" s="8" t="str">
        <f>IF($A88="","",IF('Cobertura de Requisitos'!G88&gt;0,"Si","No"))</f>
        <v/>
      </c>
      <c r="F88" s="8" t="str">
        <f>IF($A88="","",IF('Cobertura de Requisitos'!H88&gt;0,"Si","No"))</f>
        <v/>
      </c>
      <c r="G88" s="12" t="str">
        <f>IF($A88="","",'Cobertura de Requisitos'!J88)</f>
        <v/>
      </c>
      <c r="H88" s="9" t="str">
        <f>IF($A88="","",IF('Cobertura de Requisitos'!J88="Pendiente","Sin cobertura - requiere pruebas",IF('Cobertura de Requisitos'!J88="Parcial","Cobertura incompleta - revisar pruebas faltantes","Cobertura completa")))</f>
        <v/>
      </c>
    </row>
    <row r="89" ht="15.75" customHeight="1">
      <c r="A89" s="6" t="str">
        <f>IF('Cobertura de Requisitos'!A89="","",'Cobertura de Requisitos'!A89)</f>
        <v/>
      </c>
      <c r="B89" s="9" t="str">
        <f>IF($A89="","",'Cobertura de Requisitos'!B89)</f>
        <v/>
      </c>
      <c r="C89" s="8" t="str">
        <f>IF($A89="","",IF('Cobertura de Requisitos'!E89&gt;0,"Si","No"))</f>
        <v/>
      </c>
      <c r="D89" s="8" t="str">
        <f>IF($A89="","",IF('Cobertura de Requisitos'!F89&gt;0,"Si","No"))</f>
        <v/>
      </c>
      <c r="E89" s="8" t="str">
        <f>IF($A89="","",IF('Cobertura de Requisitos'!G89&gt;0,"Si","No"))</f>
        <v/>
      </c>
      <c r="F89" s="8" t="str">
        <f>IF($A89="","",IF('Cobertura de Requisitos'!H89&gt;0,"Si","No"))</f>
        <v/>
      </c>
      <c r="G89" s="12" t="str">
        <f>IF($A89="","",'Cobertura de Requisitos'!J89)</f>
        <v/>
      </c>
      <c r="H89" s="9" t="str">
        <f>IF($A89="","",IF('Cobertura de Requisitos'!J89="Pendiente","Sin cobertura - requiere pruebas",IF('Cobertura de Requisitos'!J89="Parcial","Cobertura incompleta - revisar pruebas faltantes","Cobertura completa")))</f>
        <v/>
      </c>
    </row>
    <row r="90" ht="15.75" customHeight="1">
      <c r="A90" s="6" t="str">
        <f>IF('Cobertura de Requisitos'!A90="","",'Cobertura de Requisitos'!A90)</f>
        <v/>
      </c>
      <c r="B90" s="9" t="str">
        <f>IF($A90="","",'Cobertura de Requisitos'!B90)</f>
        <v/>
      </c>
      <c r="C90" s="8" t="str">
        <f>IF($A90="","",IF('Cobertura de Requisitos'!E90&gt;0,"Si","No"))</f>
        <v/>
      </c>
      <c r="D90" s="8" t="str">
        <f>IF($A90="","",IF('Cobertura de Requisitos'!F90&gt;0,"Si","No"))</f>
        <v/>
      </c>
      <c r="E90" s="8" t="str">
        <f>IF($A90="","",IF('Cobertura de Requisitos'!G90&gt;0,"Si","No"))</f>
        <v/>
      </c>
      <c r="F90" s="8" t="str">
        <f>IF($A90="","",IF('Cobertura de Requisitos'!H90&gt;0,"Si","No"))</f>
        <v/>
      </c>
      <c r="G90" s="12" t="str">
        <f>IF($A90="","",'Cobertura de Requisitos'!J90)</f>
        <v/>
      </c>
      <c r="H90" s="9" t="str">
        <f>IF($A90="","",IF('Cobertura de Requisitos'!J90="Pendiente","Sin cobertura - requiere pruebas",IF('Cobertura de Requisitos'!J90="Parcial","Cobertura incompleta - revisar pruebas faltantes","Cobertura completa")))</f>
        <v/>
      </c>
    </row>
    <row r="91" ht="15.75" customHeight="1">
      <c r="A91" s="6" t="str">
        <f>IF('Cobertura de Requisitos'!A91="","",'Cobertura de Requisitos'!A91)</f>
        <v/>
      </c>
      <c r="B91" s="9" t="str">
        <f>IF($A91="","",'Cobertura de Requisitos'!B91)</f>
        <v/>
      </c>
      <c r="C91" s="8" t="str">
        <f>IF($A91="","",IF('Cobertura de Requisitos'!E91&gt;0,"Si","No"))</f>
        <v/>
      </c>
      <c r="D91" s="8" t="str">
        <f>IF($A91="","",IF('Cobertura de Requisitos'!F91&gt;0,"Si","No"))</f>
        <v/>
      </c>
      <c r="E91" s="8" t="str">
        <f>IF($A91="","",IF('Cobertura de Requisitos'!G91&gt;0,"Si","No"))</f>
        <v/>
      </c>
      <c r="F91" s="8" t="str">
        <f>IF($A91="","",IF('Cobertura de Requisitos'!H91&gt;0,"Si","No"))</f>
        <v/>
      </c>
      <c r="G91" s="12" t="str">
        <f>IF($A91="","",'Cobertura de Requisitos'!J91)</f>
        <v/>
      </c>
      <c r="H91" s="9" t="str">
        <f>IF($A91="","",IF('Cobertura de Requisitos'!J91="Pendiente","Sin cobertura - requiere pruebas",IF('Cobertura de Requisitos'!J91="Parcial","Cobertura incompleta - revisar pruebas faltantes","Cobertura completa")))</f>
        <v/>
      </c>
    </row>
    <row r="92" ht="15.75" customHeight="1">
      <c r="A92" s="6" t="str">
        <f>IF('Cobertura de Requisitos'!A92="","",'Cobertura de Requisitos'!A92)</f>
        <v/>
      </c>
      <c r="B92" s="9" t="str">
        <f>IF($A92="","",'Cobertura de Requisitos'!B92)</f>
        <v/>
      </c>
      <c r="C92" s="8" t="str">
        <f>IF($A92="","",IF('Cobertura de Requisitos'!E92&gt;0,"Si","No"))</f>
        <v/>
      </c>
      <c r="D92" s="8" t="str">
        <f>IF($A92="","",IF('Cobertura de Requisitos'!F92&gt;0,"Si","No"))</f>
        <v/>
      </c>
      <c r="E92" s="8" t="str">
        <f>IF($A92="","",IF('Cobertura de Requisitos'!G92&gt;0,"Si","No"))</f>
        <v/>
      </c>
      <c r="F92" s="8" t="str">
        <f>IF($A92="","",IF('Cobertura de Requisitos'!H92&gt;0,"Si","No"))</f>
        <v/>
      </c>
      <c r="G92" s="12" t="str">
        <f>IF($A92="","",'Cobertura de Requisitos'!J92)</f>
        <v/>
      </c>
      <c r="H92" s="9" t="str">
        <f>IF($A92="","",IF('Cobertura de Requisitos'!J92="Pendiente","Sin cobertura - requiere pruebas",IF('Cobertura de Requisitos'!J92="Parcial","Cobertura incompleta - revisar pruebas faltantes","Cobertura completa")))</f>
        <v/>
      </c>
    </row>
    <row r="93" ht="15.75" customHeight="1">
      <c r="A93" s="6" t="str">
        <f>IF('Cobertura de Requisitos'!A93="","",'Cobertura de Requisitos'!A93)</f>
        <v/>
      </c>
      <c r="B93" s="9" t="str">
        <f>IF($A93="","",'Cobertura de Requisitos'!B93)</f>
        <v/>
      </c>
      <c r="C93" s="8" t="str">
        <f>IF($A93="","",IF('Cobertura de Requisitos'!E93&gt;0,"Si","No"))</f>
        <v/>
      </c>
      <c r="D93" s="8" t="str">
        <f>IF($A93="","",IF('Cobertura de Requisitos'!F93&gt;0,"Si","No"))</f>
        <v/>
      </c>
      <c r="E93" s="8" t="str">
        <f>IF($A93="","",IF('Cobertura de Requisitos'!G93&gt;0,"Si","No"))</f>
        <v/>
      </c>
      <c r="F93" s="8" t="str">
        <f>IF($A93="","",IF('Cobertura de Requisitos'!H93&gt;0,"Si","No"))</f>
        <v/>
      </c>
      <c r="G93" s="12" t="str">
        <f>IF($A93="","",'Cobertura de Requisitos'!J93)</f>
        <v/>
      </c>
      <c r="H93" s="9" t="str">
        <f>IF($A93="","",IF('Cobertura de Requisitos'!J93="Pendiente","Sin cobertura - requiere pruebas",IF('Cobertura de Requisitos'!J93="Parcial","Cobertura incompleta - revisar pruebas faltantes","Cobertura completa")))</f>
        <v/>
      </c>
    </row>
    <row r="94" ht="15.75" customHeight="1">
      <c r="A94" s="6" t="str">
        <f>IF('Cobertura de Requisitos'!A94="","",'Cobertura de Requisitos'!A94)</f>
        <v/>
      </c>
      <c r="B94" s="9" t="str">
        <f>IF($A94="","",'Cobertura de Requisitos'!B94)</f>
        <v/>
      </c>
      <c r="C94" s="8" t="str">
        <f>IF($A94="","",IF('Cobertura de Requisitos'!E94&gt;0,"Si","No"))</f>
        <v/>
      </c>
      <c r="D94" s="8" t="str">
        <f>IF($A94="","",IF('Cobertura de Requisitos'!F94&gt;0,"Si","No"))</f>
        <v/>
      </c>
      <c r="E94" s="8" t="str">
        <f>IF($A94="","",IF('Cobertura de Requisitos'!G94&gt;0,"Si","No"))</f>
        <v/>
      </c>
      <c r="F94" s="8" t="str">
        <f>IF($A94="","",IF('Cobertura de Requisitos'!H94&gt;0,"Si","No"))</f>
        <v/>
      </c>
      <c r="G94" s="12" t="str">
        <f>IF($A94="","",'Cobertura de Requisitos'!J94)</f>
        <v/>
      </c>
      <c r="H94" s="9" t="str">
        <f>IF($A94="","",IF('Cobertura de Requisitos'!J94="Pendiente","Sin cobertura - requiere pruebas",IF('Cobertura de Requisitos'!J94="Parcial","Cobertura incompleta - revisar pruebas faltantes","Cobertura completa")))</f>
        <v/>
      </c>
    </row>
    <row r="95" ht="15.75" customHeight="1">
      <c r="A95" s="6" t="str">
        <f>IF('Cobertura de Requisitos'!A95="","",'Cobertura de Requisitos'!A95)</f>
        <v/>
      </c>
      <c r="B95" s="9" t="str">
        <f>IF($A95="","",'Cobertura de Requisitos'!B95)</f>
        <v/>
      </c>
      <c r="C95" s="8" t="str">
        <f>IF($A95="","",IF('Cobertura de Requisitos'!E95&gt;0,"Si","No"))</f>
        <v/>
      </c>
      <c r="D95" s="8" t="str">
        <f>IF($A95="","",IF('Cobertura de Requisitos'!F95&gt;0,"Si","No"))</f>
        <v/>
      </c>
      <c r="E95" s="8" t="str">
        <f>IF($A95="","",IF('Cobertura de Requisitos'!G95&gt;0,"Si","No"))</f>
        <v/>
      </c>
      <c r="F95" s="8" t="str">
        <f>IF($A95="","",IF('Cobertura de Requisitos'!H95&gt;0,"Si","No"))</f>
        <v/>
      </c>
      <c r="G95" s="12" t="str">
        <f>IF($A95="","",'Cobertura de Requisitos'!J95)</f>
        <v/>
      </c>
      <c r="H95" s="9" t="str">
        <f>IF($A95="","",IF('Cobertura de Requisitos'!J95="Pendiente","Sin cobertura - requiere pruebas",IF('Cobertura de Requisitos'!J95="Parcial","Cobertura incompleta - revisar pruebas faltantes","Cobertura completa")))</f>
        <v/>
      </c>
    </row>
    <row r="96" ht="15.75" customHeight="1">
      <c r="A96" s="6" t="str">
        <f>IF('Cobertura de Requisitos'!A96="","",'Cobertura de Requisitos'!A96)</f>
        <v/>
      </c>
      <c r="B96" s="9" t="str">
        <f>IF($A96="","",'Cobertura de Requisitos'!B96)</f>
        <v/>
      </c>
      <c r="C96" s="8" t="str">
        <f>IF($A96="","",IF('Cobertura de Requisitos'!E96&gt;0,"Si","No"))</f>
        <v/>
      </c>
      <c r="D96" s="8" t="str">
        <f>IF($A96="","",IF('Cobertura de Requisitos'!F96&gt;0,"Si","No"))</f>
        <v/>
      </c>
      <c r="E96" s="8" t="str">
        <f>IF($A96="","",IF('Cobertura de Requisitos'!G96&gt;0,"Si","No"))</f>
        <v/>
      </c>
      <c r="F96" s="8" t="str">
        <f>IF($A96="","",IF('Cobertura de Requisitos'!H96&gt;0,"Si","No"))</f>
        <v/>
      </c>
      <c r="G96" s="12" t="str">
        <f>IF($A96="","",'Cobertura de Requisitos'!J96)</f>
        <v/>
      </c>
      <c r="H96" s="9" t="str">
        <f>IF($A96="","",IF('Cobertura de Requisitos'!J96="Pendiente","Sin cobertura - requiere pruebas",IF('Cobertura de Requisitos'!J96="Parcial","Cobertura incompleta - revisar pruebas faltantes","Cobertura completa")))</f>
        <v/>
      </c>
    </row>
    <row r="97" ht="15.75" customHeight="1">
      <c r="A97" s="6" t="str">
        <f>IF('Cobertura de Requisitos'!A97="","",'Cobertura de Requisitos'!A97)</f>
        <v/>
      </c>
      <c r="B97" s="9" t="str">
        <f>IF($A97="","",'Cobertura de Requisitos'!B97)</f>
        <v/>
      </c>
      <c r="C97" s="8" t="str">
        <f>IF($A97="","",IF('Cobertura de Requisitos'!E97&gt;0,"Si","No"))</f>
        <v/>
      </c>
      <c r="D97" s="8" t="str">
        <f>IF($A97="","",IF('Cobertura de Requisitos'!F97&gt;0,"Si","No"))</f>
        <v/>
      </c>
      <c r="E97" s="8" t="str">
        <f>IF($A97="","",IF('Cobertura de Requisitos'!G97&gt;0,"Si","No"))</f>
        <v/>
      </c>
      <c r="F97" s="8" t="str">
        <f>IF($A97="","",IF('Cobertura de Requisitos'!H97&gt;0,"Si","No"))</f>
        <v/>
      </c>
      <c r="G97" s="12" t="str">
        <f>IF($A97="","",'Cobertura de Requisitos'!J97)</f>
        <v/>
      </c>
      <c r="H97" s="9" t="str">
        <f>IF($A97="","",IF('Cobertura de Requisitos'!J97="Pendiente","Sin cobertura - requiere pruebas",IF('Cobertura de Requisitos'!J97="Parcial","Cobertura incompleta - revisar pruebas faltantes","Cobertura completa")))</f>
        <v/>
      </c>
    </row>
    <row r="98" ht="15.75" customHeight="1">
      <c r="A98" s="6" t="str">
        <f>IF('Cobertura de Requisitos'!A98="","",'Cobertura de Requisitos'!A98)</f>
        <v/>
      </c>
      <c r="B98" s="9" t="str">
        <f>IF($A98="","",'Cobertura de Requisitos'!B98)</f>
        <v/>
      </c>
      <c r="C98" s="8" t="str">
        <f>IF($A98="","",IF('Cobertura de Requisitos'!E98&gt;0,"Si","No"))</f>
        <v/>
      </c>
      <c r="D98" s="8" t="str">
        <f>IF($A98="","",IF('Cobertura de Requisitos'!F98&gt;0,"Si","No"))</f>
        <v/>
      </c>
      <c r="E98" s="8" t="str">
        <f>IF($A98="","",IF('Cobertura de Requisitos'!G98&gt;0,"Si","No"))</f>
        <v/>
      </c>
      <c r="F98" s="8" t="str">
        <f>IF($A98="","",IF('Cobertura de Requisitos'!H98&gt;0,"Si","No"))</f>
        <v/>
      </c>
      <c r="G98" s="12" t="str">
        <f>IF($A98="","",'Cobertura de Requisitos'!J98)</f>
        <v/>
      </c>
      <c r="H98" s="9" t="str">
        <f>IF($A98="","",IF('Cobertura de Requisitos'!J98="Pendiente","Sin cobertura - requiere pruebas",IF('Cobertura de Requisitos'!J98="Parcial","Cobertura incompleta - revisar pruebas faltantes","Cobertura completa")))</f>
        <v/>
      </c>
    </row>
    <row r="99" ht="15.75" customHeight="1">
      <c r="A99" s="6" t="str">
        <f>IF('Cobertura de Requisitos'!A99="","",'Cobertura de Requisitos'!A99)</f>
        <v/>
      </c>
      <c r="B99" s="9" t="str">
        <f>IF($A99="","",'Cobertura de Requisitos'!B99)</f>
        <v/>
      </c>
      <c r="C99" s="8" t="str">
        <f>IF($A99="","",IF('Cobertura de Requisitos'!E99&gt;0,"Si","No"))</f>
        <v/>
      </c>
      <c r="D99" s="8" t="str">
        <f>IF($A99="","",IF('Cobertura de Requisitos'!F99&gt;0,"Si","No"))</f>
        <v/>
      </c>
      <c r="E99" s="8" t="str">
        <f>IF($A99="","",IF('Cobertura de Requisitos'!G99&gt;0,"Si","No"))</f>
        <v/>
      </c>
      <c r="F99" s="8" t="str">
        <f>IF($A99="","",IF('Cobertura de Requisitos'!H99&gt;0,"Si","No"))</f>
        <v/>
      </c>
      <c r="G99" s="12" t="str">
        <f>IF($A99="","",'Cobertura de Requisitos'!J99)</f>
        <v/>
      </c>
      <c r="H99" s="9" t="str">
        <f>IF($A99="","",IF('Cobertura de Requisitos'!J99="Pendiente","Sin cobertura - requiere pruebas",IF('Cobertura de Requisitos'!J99="Parcial","Cobertura incompleta - revisar pruebas faltantes","Cobertura completa")))</f>
        <v/>
      </c>
    </row>
    <row r="100" ht="15.75" customHeight="1">
      <c r="A100" s="6" t="str">
        <f>IF('Cobertura de Requisitos'!A100="","",'Cobertura de Requisitos'!A100)</f>
        <v/>
      </c>
      <c r="B100" s="9" t="str">
        <f>IF($A100="","",'Cobertura de Requisitos'!B100)</f>
        <v/>
      </c>
      <c r="C100" s="8" t="str">
        <f>IF($A100="","",IF('Cobertura de Requisitos'!E100&gt;0,"Si","No"))</f>
        <v/>
      </c>
      <c r="D100" s="8" t="str">
        <f>IF($A100="","",IF('Cobertura de Requisitos'!F100&gt;0,"Si","No"))</f>
        <v/>
      </c>
      <c r="E100" s="8" t="str">
        <f>IF($A100="","",IF('Cobertura de Requisitos'!G100&gt;0,"Si","No"))</f>
        <v/>
      </c>
      <c r="F100" s="8" t="str">
        <f>IF($A100="","",IF('Cobertura de Requisitos'!H100&gt;0,"Si","No"))</f>
        <v/>
      </c>
      <c r="G100" s="12" t="str">
        <f>IF($A100="","",'Cobertura de Requisitos'!J100)</f>
        <v/>
      </c>
      <c r="H100" s="9" t="str">
        <f>IF($A100="","",IF('Cobertura de Requisitos'!J100="Pendiente","Sin cobertura - requiere pruebas",IF('Cobertura de Requisitos'!J100="Parcial","Cobertura incompleta - revisar pruebas faltantes","Cobertura completa")))</f>
        <v/>
      </c>
    </row>
    <row r="101" ht="15.75" customHeight="1">
      <c r="A101" s="6" t="str">
        <f>IF('Cobertura de Requisitos'!A101="","",'Cobertura de Requisitos'!A101)</f>
        <v/>
      </c>
      <c r="B101" s="9" t="str">
        <f>IF($A101="","",'Cobertura de Requisitos'!B101)</f>
        <v/>
      </c>
      <c r="C101" s="8" t="str">
        <f>IF($A101="","",IF('Cobertura de Requisitos'!E101&gt;0,"Si","No"))</f>
        <v/>
      </c>
      <c r="D101" s="8" t="str">
        <f>IF($A101="","",IF('Cobertura de Requisitos'!F101&gt;0,"Si","No"))</f>
        <v/>
      </c>
      <c r="E101" s="8" t="str">
        <f>IF($A101="","",IF('Cobertura de Requisitos'!G101&gt;0,"Si","No"))</f>
        <v/>
      </c>
      <c r="F101" s="8" t="str">
        <f>IF($A101="","",IF('Cobertura de Requisitos'!H101&gt;0,"Si","No"))</f>
        <v/>
      </c>
      <c r="G101" s="12" t="str">
        <f>IF($A101="","",'Cobertura de Requisitos'!J101)</f>
        <v/>
      </c>
      <c r="H101" s="9" t="str">
        <f>IF($A101="","",IF('Cobertura de Requisitos'!J101="Pendiente","Sin cobertura - requiere pruebas",IF('Cobertura de Requisitos'!J101="Parcial","Cobertura incompleta - revisar pruebas faltantes","Cobertura completa")))</f>
        <v/>
      </c>
    </row>
    <row r="102" ht="15.75" customHeight="1">
      <c r="A102" s="6" t="str">
        <f>IF('Cobertura de Requisitos'!A102="","",'Cobertura de Requisitos'!A102)</f>
        <v/>
      </c>
      <c r="B102" s="9" t="str">
        <f>IF($A102="","",'Cobertura de Requisitos'!B102)</f>
        <v/>
      </c>
      <c r="C102" s="8" t="str">
        <f>IF($A102="","",IF('Cobertura de Requisitos'!E102&gt;0,"Si","No"))</f>
        <v/>
      </c>
      <c r="D102" s="8" t="str">
        <f>IF($A102="","",IF('Cobertura de Requisitos'!F102&gt;0,"Si","No"))</f>
        <v/>
      </c>
      <c r="E102" s="8" t="str">
        <f>IF($A102="","",IF('Cobertura de Requisitos'!G102&gt;0,"Si","No"))</f>
        <v/>
      </c>
      <c r="F102" s="8" t="str">
        <f>IF($A102="","",IF('Cobertura de Requisitos'!H102&gt;0,"Si","No"))</f>
        <v/>
      </c>
      <c r="G102" s="12" t="str">
        <f>IF($A102="","",'Cobertura de Requisitos'!J102)</f>
        <v/>
      </c>
      <c r="H102" s="9" t="str">
        <f>IF($A102="","",IF('Cobertura de Requisitos'!J102="Pendiente","Sin cobertura - requiere pruebas",IF('Cobertura de Requisitos'!J102="Parcial","Cobertura incompleta - revisar pruebas faltantes","Cobertura completa")))</f>
        <v/>
      </c>
    </row>
    <row r="103" ht="15.75" customHeight="1">
      <c r="A103" s="6" t="str">
        <f>IF('Cobertura de Requisitos'!A103="","",'Cobertura de Requisitos'!A103)</f>
        <v/>
      </c>
      <c r="B103" s="9" t="str">
        <f>IF($A103="","",'Cobertura de Requisitos'!B103)</f>
        <v/>
      </c>
      <c r="C103" s="8" t="str">
        <f>IF($A103="","",IF('Cobertura de Requisitos'!E103&gt;0,"Si","No"))</f>
        <v/>
      </c>
      <c r="D103" s="8" t="str">
        <f>IF($A103="","",IF('Cobertura de Requisitos'!F103&gt;0,"Si","No"))</f>
        <v/>
      </c>
      <c r="E103" s="8" t="str">
        <f>IF($A103="","",IF('Cobertura de Requisitos'!G103&gt;0,"Si","No"))</f>
        <v/>
      </c>
      <c r="F103" s="8" t="str">
        <f>IF($A103="","",IF('Cobertura de Requisitos'!H103&gt;0,"Si","No"))</f>
        <v/>
      </c>
      <c r="G103" s="12" t="str">
        <f>IF($A103="","",'Cobertura de Requisitos'!J103)</f>
        <v/>
      </c>
      <c r="H103" s="9" t="str">
        <f>IF($A103="","",IF('Cobertura de Requisitos'!J103="Pendiente","Sin cobertura - requiere pruebas",IF('Cobertura de Requisitos'!J103="Parcial","Cobertura incompleta - revisar pruebas faltantes","Cobertura completa")))</f>
        <v/>
      </c>
    </row>
    <row r="104" ht="15.75" customHeight="1">
      <c r="A104" s="6" t="str">
        <f>IF('Cobertura de Requisitos'!A104="","",'Cobertura de Requisitos'!A104)</f>
        <v/>
      </c>
      <c r="B104" s="9" t="str">
        <f>IF($A104="","",'Cobertura de Requisitos'!B104)</f>
        <v/>
      </c>
      <c r="C104" s="8" t="str">
        <f>IF($A104="","",IF('Cobertura de Requisitos'!E104&gt;0,"Si","No"))</f>
        <v/>
      </c>
      <c r="D104" s="8" t="str">
        <f>IF($A104="","",IF('Cobertura de Requisitos'!F104&gt;0,"Si","No"))</f>
        <v/>
      </c>
      <c r="E104" s="8" t="str">
        <f>IF($A104="","",IF('Cobertura de Requisitos'!G104&gt;0,"Si","No"))</f>
        <v/>
      </c>
      <c r="F104" s="8" t="str">
        <f>IF($A104="","",IF('Cobertura de Requisitos'!H104&gt;0,"Si","No"))</f>
        <v/>
      </c>
      <c r="G104" s="12" t="str">
        <f>IF($A104="","",'Cobertura de Requisitos'!J104)</f>
        <v/>
      </c>
      <c r="H104" s="9" t="str">
        <f>IF($A104="","",IF('Cobertura de Requisitos'!J104="Pendiente","Sin cobertura - requiere pruebas",IF('Cobertura de Requisitos'!J104="Parcial","Cobertura incompleta - revisar pruebas faltantes","Cobertura completa")))</f>
        <v/>
      </c>
    </row>
    <row r="105" ht="15.75" customHeight="1">
      <c r="A105" s="6" t="str">
        <f>IF('Cobertura de Requisitos'!A105="","",'Cobertura de Requisitos'!A105)</f>
        <v/>
      </c>
      <c r="B105" s="9" t="str">
        <f>IF($A105="","",'Cobertura de Requisitos'!B105)</f>
        <v/>
      </c>
      <c r="C105" s="8" t="str">
        <f>IF($A105="","",IF('Cobertura de Requisitos'!E105&gt;0,"Si","No"))</f>
        <v/>
      </c>
      <c r="D105" s="8" t="str">
        <f>IF($A105="","",IF('Cobertura de Requisitos'!F105&gt;0,"Si","No"))</f>
        <v/>
      </c>
      <c r="E105" s="8" t="str">
        <f>IF($A105="","",IF('Cobertura de Requisitos'!G105&gt;0,"Si","No"))</f>
        <v/>
      </c>
      <c r="F105" s="8" t="str">
        <f>IF($A105="","",IF('Cobertura de Requisitos'!H105&gt;0,"Si","No"))</f>
        <v/>
      </c>
      <c r="G105" s="12" t="str">
        <f>IF($A105="","",'Cobertura de Requisitos'!J105)</f>
        <v/>
      </c>
      <c r="H105" s="9" t="str">
        <f>IF($A105="","",IF('Cobertura de Requisitos'!J105="Pendiente","Sin cobertura - requiere pruebas",IF('Cobertura de Requisitos'!J105="Parcial","Cobertura incompleta - revisar pruebas faltantes","Cobertura completa")))</f>
        <v/>
      </c>
    </row>
    <row r="106" ht="15.75" customHeight="1">
      <c r="A106" s="6" t="str">
        <f>IF('Cobertura de Requisitos'!A106="","",'Cobertura de Requisitos'!A106)</f>
        <v/>
      </c>
      <c r="B106" s="9" t="str">
        <f>IF($A106="","",'Cobertura de Requisitos'!B106)</f>
        <v/>
      </c>
      <c r="C106" s="8" t="str">
        <f>IF($A106="","",IF('Cobertura de Requisitos'!E106&gt;0,"Si","No"))</f>
        <v/>
      </c>
      <c r="D106" s="8" t="str">
        <f>IF($A106="","",IF('Cobertura de Requisitos'!F106&gt;0,"Si","No"))</f>
        <v/>
      </c>
      <c r="E106" s="8" t="str">
        <f>IF($A106="","",IF('Cobertura de Requisitos'!G106&gt;0,"Si","No"))</f>
        <v/>
      </c>
      <c r="F106" s="8" t="str">
        <f>IF($A106="","",IF('Cobertura de Requisitos'!H106&gt;0,"Si","No"))</f>
        <v/>
      </c>
      <c r="G106" s="12" t="str">
        <f>IF($A106="","",'Cobertura de Requisitos'!J106)</f>
        <v/>
      </c>
      <c r="H106" s="9" t="str">
        <f>IF($A106="","",IF('Cobertura de Requisitos'!J106="Pendiente","Sin cobertura - requiere pruebas",IF('Cobertura de Requisitos'!J106="Parcial","Cobertura incompleta - revisar pruebas faltantes","Cobertura completa")))</f>
        <v/>
      </c>
    </row>
    <row r="107" ht="15.75" customHeight="1">
      <c r="A107" s="6" t="str">
        <f>IF('Cobertura de Requisitos'!A107="","",'Cobertura de Requisitos'!A107)</f>
        <v/>
      </c>
      <c r="B107" s="9" t="str">
        <f>IF($A107="","",'Cobertura de Requisitos'!B107)</f>
        <v/>
      </c>
      <c r="C107" s="8" t="str">
        <f>IF($A107="","",IF('Cobertura de Requisitos'!E107&gt;0,"Si","No"))</f>
        <v/>
      </c>
      <c r="D107" s="8" t="str">
        <f>IF($A107="","",IF('Cobertura de Requisitos'!F107&gt;0,"Si","No"))</f>
        <v/>
      </c>
      <c r="E107" s="8" t="str">
        <f>IF($A107="","",IF('Cobertura de Requisitos'!G107&gt;0,"Si","No"))</f>
        <v/>
      </c>
      <c r="F107" s="8" t="str">
        <f>IF($A107="","",IF('Cobertura de Requisitos'!H107&gt;0,"Si","No"))</f>
        <v/>
      </c>
      <c r="G107" s="12" t="str">
        <f>IF($A107="","",'Cobertura de Requisitos'!J107)</f>
        <v/>
      </c>
      <c r="H107" s="9" t="str">
        <f>IF($A107="","",IF('Cobertura de Requisitos'!J107="Pendiente","Sin cobertura - requiere pruebas",IF('Cobertura de Requisitos'!J107="Parcial","Cobertura incompleta - revisar pruebas faltantes","Cobertura completa")))</f>
        <v/>
      </c>
    </row>
    <row r="108" ht="15.75" customHeight="1">
      <c r="A108" s="6" t="str">
        <f>IF('Cobertura de Requisitos'!A108="","",'Cobertura de Requisitos'!A108)</f>
        <v/>
      </c>
      <c r="B108" s="9" t="str">
        <f>IF($A108="","",'Cobertura de Requisitos'!B108)</f>
        <v/>
      </c>
      <c r="C108" s="8" t="str">
        <f>IF($A108="","",IF('Cobertura de Requisitos'!E108&gt;0,"Si","No"))</f>
        <v/>
      </c>
      <c r="D108" s="8" t="str">
        <f>IF($A108="","",IF('Cobertura de Requisitos'!F108&gt;0,"Si","No"))</f>
        <v/>
      </c>
      <c r="E108" s="8" t="str">
        <f>IF($A108="","",IF('Cobertura de Requisitos'!G108&gt;0,"Si","No"))</f>
        <v/>
      </c>
      <c r="F108" s="8" t="str">
        <f>IF($A108="","",IF('Cobertura de Requisitos'!H108&gt;0,"Si","No"))</f>
        <v/>
      </c>
      <c r="G108" s="12" t="str">
        <f>IF($A108="","",'Cobertura de Requisitos'!J108)</f>
        <v/>
      </c>
      <c r="H108" s="9" t="str">
        <f>IF($A108="","",IF('Cobertura de Requisitos'!J108="Pendiente","Sin cobertura - requiere pruebas",IF('Cobertura de Requisitos'!J108="Parcial","Cobertura incompleta - revisar pruebas faltantes","Cobertura completa")))</f>
        <v/>
      </c>
    </row>
    <row r="109" ht="15.75" customHeight="1">
      <c r="A109" s="6" t="str">
        <f>IF('Cobertura de Requisitos'!A109="","",'Cobertura de Requisitos'!A109)</f>
        <v/>
      </c>
      <c r="B109" s="9" t="str">
        <f>IF($A109="","",'Cobertura de Requisitos'!B109)</f>
        <v/>
      </c>
      <c r="C109" s="8" t="str">
        <f>IF($A109="","",IF('Cobertura de Requisitos'!E109&gt;0,"Si","No"))</f>
        <v/>
      </c>
      <c r="D109" s="8" t="str">
        <f>IF($A109="","",IF('Cobertura de Requisitos'!F109&gt;0,"Si","No"))</f>
        <v/>
      </c>
      <c r="E109" s="8" t="str">
        <f>IF($A109="","",IF('Cobertura de Requisitos'!G109&gt;0,"Si","No"))</f>
        <v/>
      </c>
      <c r="F109" s="8" t="str">
        <f>IF($A109="","",IF('Cobertura de Requisitos'!H109&gt;0,"Si","No"))</f>
        <v/>
      </c>
      <c r="G109" s="12" t="str">
        <f>IF($A109="","",'Cobertura de Requisitos'!J109)</f>
        <v/>
      </c>
      <c r="H109" s="9" t="str">
        <f>IF($A109="","",IF('Cobertura de Requisitos'!J109="Pendiente","Sin cobertura - requiere pruebas",IF('Cobertura de Requisitos'!J109="Parcial","Cobertura incompleta - revisar pruebas faltantes","Cobertura completa")))</f>
        <v/>
      </c>
    </row>
    <row r="110" ht="15.75" customHeight="1">
      <c r="A110" s="6" t="str">
        <f>IF('Cobertura de Requisitos'!A110="","",'Cobertura de Requisitos'!A110)</f>
        <v/>
      </c>
      <c r="B110" s="9" t="str">
        <f>IF($A110="","",'Cobertura de Requisitos'!B110)</f>
        <v/>
      </c>
      <c r="C110" s="8" t="str">
        <f>IF($A110="","",IF('Cobertura de Requisitos'!E110&gt;0,"Si","No"))</f>
        <v/>
      </c>
      <c r="D110" s="8" t="str">
        <f>IF($A110="","",IF('Cobertura de Requisitos'!F110&gt;0,"Si","No"))</f>
        <v/>
      </c>
      <c r="E110" s="8" t="str">
        <f>IF($A110="","",IF('Cobertura de Requisitos'!G110&gt;0,"Si","No"))</f>
        <v/>
      </c>
      <c r="F110" s="8" t="str">
        <f>IF($A110="","",IF('Cobertura de Requisitos'!H110&gt;0,"Si","No"))</f>
        <v/>
      </c>
      <c r="G110" s="12" t="str">
        <f>IF($A110="","",'Cobertura de Requisitos'!J110)</f>
        <v/>
      </c>
      <c r="H110" s="9" t="str">
        <f>IF($A110="","",IF('Cobertura de Requisitos'!J110="Pendiente","Sin cobertura - requiere pruebas",IF('Cobertura de Requisitos'!J110="Parcial","Cobertura incompleta - revisar pruebas faltantes","Cobertura completa")))</f>
        <v/>
      </c>
    </row>
    <row r="111" ht="15.75" customHeight="1">
      <c r="A111" s="6" t="str">
        <f>IF('Cobertura de Requisitos'!A111="","",'Cobertura de Requisitos'!A111)</f>
        <v/>
      </c>
      <c r="B111" s="9" t="str">
        <f>IF($A111="","",'Cobertura de Requisitos'!B111)</f>
        <v/>
      </c>
      <c r="C111" s="8" t="str">
        <f>IF($A111="","",IF('Cobertura de Requisitos'!E111&gt;0,"Si","No"))</f>
        <v/>
      </c>
      <c r="D111" s="8" t="str">
        <f>IF($A111="","",IF('Cobertura de Requisitos'!F111&gt;0,"Si","No"))</f>
        <v/>
      </c>
      <c r="E111" s="8" t="str">
        <f>IF($A111="","",IF('Cobertura de Requisitos'!G111&gt;0,"Si","No"))</f>
        <v/>
      </c>
      <c r="F111" s="8" t="str">
        <f>IF($A111="","",IF('Cobertura de Requisitos'!H111&gt;0,"Si","No"))</f>
        <v/>
      </c>
      <c r="G111" s="12" t="str">
        <f>IF($A111="","",'Cobertura de Requisitos'!J111)</f>
        <v/>
      </c>
      <c r="H111" s="9" t="str">
        <f>IF($A111="","",IF('Cobertura de Requisitos'!J111="Pendiente","Sin cobertura - requiere pruebas",IF('Cobertura de Requisitos'!J111="Parcial","Cobertura incompleta - revisar pruebas faltantes","Cobertura completa")))</f>
        <v/>
      </c>
    </row>
    <row r="112" ht="15.75" customHeight="1">
      <c r="A112" s="6" t="str">
        <f>IF('Cobertura de Requisitos'!A112="","",'Cobertura de Requisitos'!A112)</f>
        <v/>
      </c>
      <c r="B112" s="9" t="str">
        <f>IF($A112="","",'Cobertura de Requisitos'!B112)</f>
        <v/>
      </c>
      <c r="C112" s="8" t="str">
        <f>IF($A112="","",IF('Cobertura de Requisitos'!E112&gt;0,"Si","No"))</f>
        <v/>
      </c>
      <c r="D112" s="8" t="str">
        <f>IF($A112="","",IF('Cobertura de Requisitos'!F112&gt;0,"Si","No"))</f>
        <v/>
      </c>
      <c r="E112" s="8" t="str">
        <f>IF($A112="","",IF('Cobertura de Requisitos'!G112&gt;0,"Si","No"))</f>
        <v/>
      </c>
      <c r="F112" s="8" t="str">
        <f>IF($A112="","",IF('Cobertura de Requisitos'!H112&gt;0,"Si","No"))</f>
        <v/>
      </c>
      <c r="G112" s="12" t="str">
        <f>IF($A112="","",'Cobertura de Requisitos'!J112)</f>
        <v/>
      </c>
      <c r="H112" s="9" t="str">
        <f>IF($A112="","",IF('Cobertura de Requisitos'!J112="Pendiente","Sin cobertura - requiere pruebas",IF('Cobertura de Requisitos'!J112="Parcial","Cobertura incompleta - revisar pruebas faltantes","Cobertura completa")))</f>
        <v/>
      </c>
    </row>
    <row r="113" ht="15.75" customHeight="1">
      <c r="A113" s="6" t="str">
        <f>IF('Cobertura de Requisitos'!A113="","",'Cobertura de Requisitos'!A113)</f>
        <v/>
      </c>
      <c r="B113" s="9" t="str">
        <f>IF($A113="","",'Cobertura de Requisitos'!B113)</f>
        <v/>
      </c>
      <c r="C113" s="8" t="str">
        <f>IF($A113="","",IF('Cobertura de Requisitos'!E113&gt;0,"Si","No"))</f>
        <v/>
      </c>
      <c r="D113" s="8" t="str">
        <f>IF($A113="","",IF('Cobertura de Requisitos'!F113&gt;0,"Si","No"))</f>
        <v/>
      </c>
      <c r="E113" s="8" t="str">
        <f>IF($A113="","",IF('Cobertura de Requisitos'!G113&gt;0,"Si","No"))</f>
        <v/>
      </c>
      <c r="F113" s="8" t="str">
        <f>IF($A113="","",IF('Cobertura de Requisitos'!H113&gt;0,"Si","No"))</f>
        <v/>
      </c>
      <c r="G113" s="12" t="str">
        <f>IF($A113="","",'Cobertura de Requisitos'!J113)</f>
        <v/>
      </c>
      <c r="H113" s="9" t="str">
        <f>IF($A113="","",IF('Cobertura de Requisitos'!J113="Pendiente","Sin cobertura - requiere pruebas",IF('Cobertura de Requisitos'!J113="Parcial","Cobertura incompleta - revisar pruebas faltantes","Cobertura completa")))</f>
        <v/>
      </c>
    </row>
    <row r="114" ht="15.75" customHeight="1">
      <c r="A114" s="6" t="str">
        <f>IF('Cobertura de Requisitos'!A114="","",'Cobertura de Requisitos'!A114)</f>
        <v/>
      </c>
      <c r="B114" s="9" t="str">
        <f>IF($A114="","",'Cobertura de Requisitos'!B114)</f>
        <v/>
      </c>
      <c r="C114" s="8" t="str">
        <f>IF($A114="","",IF('Cobertura de Requisitos'!E114&gt;0,"Si","No"))</f>
        <v/>
      </c>
      <c r="D114" s="8" t="str">
        <f>IF($A114="","",IF('Cobertura de Requisitos'!F114&gt;0,"Si","No"))</f>
        <v/>
      </c>
      <c r="E114" s="8" t="str">
        <f>IF($A114="","",IF('Cobertura de Requisitos'!G114&gt;0,"Si","No"))</f>
        <v/>
      </c>
      <c r="F114" s="8" t="str">
        <f>IF($A114="","",IF('Cobertura de Requisitos'!H114&gt;0,"Si","No"))</f>
        <v/>
      </c>
      <c r="G114" s="12" t="str">
        <f>IF($A114="","",'Cobertura de Requisitos'!J114)</f>
        <v/>
      </c>
      <c r="H114" s="9" t="str">
        <f>IF($A114="","",IF('Cobertura de Requisitos'!J114="Pendiente","Sin cobertura - requiere pruebas",IF('Cobertura de Requisitos'!J114="Parcial","Cobertura incompleta - revisar pruebas faltantes","Cobertura completa")))</f>
        <v/>
      </c>
    </row>
    <row r="115" ht="15.75" customHeight="1">
      <c r="A115" s="6" t="str">
        <f>IF('Cobertura de Requisitos'!A115="","",'Cobertura de Requisitos'!A115)</f>
        <v/>
      </c>
      <c r="B115" s="9" t="str">
        <f>IF($A115="","",'Cobertura de Requisitos'!B115)</f>
        <v/>
      </c>
      <c r="C115" s="8" t="str">
        <f>IF($A115="","",IF('Cobertura de Requisitos'!E115&gt;0,"Si","No"))</f>
        <v/>
      </c>
      <c r="D115" s="8" t="str">
        <f>IF($A115="","",IF('Cobertura de Requisitos'!F115&gt;0,"Si","No"))</f>
        <v/>
      </c>
      <c r="E115" s="8" t="str">
        <f>IF($A115="","",IF('Cobertura de Requisitos'!G115&gt;0,"Si","No"))</f>
        <v/>
      </c>
      <c r="F115" s="8" t="str">
        <f>IF($A115="","",IF('Cobertura de Requisitos'!H115&gt;0,"Si","No"))</f>
        <v/>
      </c>
      <c r="G115" s="12" t="str">
        <f>IF($A115="","",'Cobertura de Requisitos'!J115)</f>
        <v/>
      </c>
      <c r="H115" s="9" t="str">
        <f>IF($A115="","",IF('Cobertura de Requisitos'!J115="Pendiente","Sin cobertura - requiere pruebas",IF('Cobertura de Requisitos'!J115="Parcial","Cobertura incompleta - revisar pruebas faltantes","Cobertura completa")))</f>
        <v/>
      </c>
    </row>
    <row r="116" ht="15.75" customHeight="1">
      <c r="A116" s="6" t="str">
        <f>IF('Cobertura de Requisitos'!A116="","",'Cobertura de Requisitos'!A116)</f>
        <v/>
      </c>
      <c r="B116" s="9" t="str">
        <f>IF($A116="","",'Cobertura de Requisitos'!B116)</f>
        <v/>
      </c>
      <c r="C116" s="8" t="str">
        <f>IF($A116="","",IF('Cobertura de Requisitos'!E116&gt;0,"Si","No"))</f>
        <v/>
      </c>
      <c r="D116" s="8" t="str">
        <f>IF($A116="","",IF('Cobertura de Requisitos'!F116&gt;0,"Si","No"))</f>
        <v/>
      </c>
      <c r="E116" s="8" t="str">
        <f>IF($A116="","",IF('Cobertura de Requisitos'!G116&gt;0,"Si","No"))</f>
        <v/>
      </c>
      <c r="F116" s="8" t="str">
        <f>IF($A116="","",IF('Cobertura de Requisitos'!H116&gt;0,"Si","No"))</f>
        <v/>
      </c>
      <c r="G116" s="12" t="str">
        <f>IF($A116="","",'Cobertura de Requisitos'!J116)</f>
        <v/>
      </c>
      <c r="H116" s="9" t="str">
        <f>IF($A116="","",IF('Cobertura de Requisitos'!J116="Pendiente","Sin cobertura - requiere pruebas",IF('Cobertura de Requisitos'!J116="Parcial","Cobertura incompleta - revisar pruebas faltantes","Cobertura completa")))</f>
        <v/>
      </c>
    </row>
    <row r="117" ht="15.75" customHeight="1">
      <c r="A117" s="6" t="str">
        <f>IF('Cobertura de Requisitos'!A117="","",'Cobertura de Requisitos'!A117)</f>
        <v/>
      </c>
      <c r="B117" s="9" t="str">
        <f>IF($A117="","",'Cobertura de Requisitos'!B117)</f>
        <v/>
      </c>
      <c r="C117" s="8" t="str">
        <f>IF($A117="","",IF('Cobertura de Requisitos'!E117&gt;0,"Si","No"))</f>
        <v/>
      </c>
      <c r="D117" s="8" t="str">
        <f>IF($A117="","",IF('Cobertura de Requisitos'!F117&gt;0,"Si","No"))</f>
        <v/>
      </c>
      <c r="E117" s="8" t="str">
        <f>IF($A117="","",IF('Cobertura de Requisitos'!G117&gt;0,"Si","No"))</f>
        <v/>
      </c>
      <c r="F117" s="8" t="str">
        <f>IF($A117="","",IF('Cobertura de Requisitos'!H117&gt;0,"Si","No"))</f>
        <v/>
      </c>
      <c r="G117" s="12" t="str">
        <f>IF($A117="","",'Cobertura de Requisitos'!J117)</f>
        <v/>
      </c>
      <c r="H117" s="9" t="str">
        <f>IF($A117="","",IF('Cobertura de Requisitos'!J117="Pendiente","Sin cobertura - requiere pruebas",IF('Cobertura de Requisitos'!J117="Parcial","Cobertura incompleta - revisar pruebas faltantes","Cobertura completa")))</f>
        <v/>
      </c>
    </row>
    <row r="118" ht="15.75" customHeight="1">
      <c r="A118" s="6" t="str">
        <f>IF('Cobertura de Requisitos'!A118="","",'Cobertura de Requisitos'!A118)</f>
        <v/>
      </c>
      <c r="B118" s="9" t="str">
        <f>IF($A118="","",'Cobertura de Requisitos'!B118)</f>
        <v/>
      </c>
      <c r="C118" s="8" t="str">
        <f>IF($A118="","",IF('Cobertura de Requisitos'!E118&gt;0,"Si","No"))</f>
        <v/>
      </c>
      <c r="D118" s="8" t="str">
        <f>IF($A118="","",IF('Cobertura de Requisitos'!F118&gt;0,"Si","No"))</f>
        <v/>
      </c>
      <c r="E118" s="8" t="str">
        <f>IF($A118="","",IF('Cobertura de Requisitos'!G118&gt;0,"Si","No"))</f>
        <v/>
      </c>
      <c r="F118" s="8" t="str">
        <f>IF($A118="","",IF('Cobertura de Requisitos'!H118&gt;0,"Si","No"))</f>
        <v/>
      </c>
      <c r="G118" s="12" t="str">
        <f>IF($A118="","",'Cobertura de Requisitos'!J118)</f>
        <v/>
      </c>
      <c r="H118" s="9" t="str">
        <f>IF($A118="","",IF('Cobertura de Requisitos'!J118="Pendiente","Sin cobertura - requiere pruebas",IF('Cobertura de Requisitos'!J118="Parcial","Cobertura incompleta - revisar pruebas faltantes","Cobertura completa")))</f>
        <v/>
      </c>
    </row>
    <row r="119" ht="15.75" customHeight="1">
      <c r="A119" s="6" t="str">
        <f>IF('Cobertura de Requisitos'!A119="","",'Cobertura de Requisitos'!A119)</f>
        <v/>
      </c>
      <c r="B119" s="9" t="str">
        <f>IF($A119="","",'Cobertura de Requisitos'!B119)</f>
        <v/>
      </c>
      <c r="C119" s="8" t="str">
        <f>IF($A119="","",IF('Cobertura de Requisitos'!E119&gt;0,"Si","No"))</f>
        <v/>
      </c>
      <c r="D119" s="8" t="str">
        <f>IF($A119="","",IF('Cobertura de Requisitos'!F119&gt;0,"Si","No"))</f>
        <v/>
      </c>
      <c r="E119" s="8" t="str">
        <f>IF($A119="","",IF('Cobertura de Requisitos'!G119&gt;0,"Si","No"))</f>
        <v/>
      </c>
      <c r="F119" s="8" t="str">
        <f>IF($A119="","",IF('Cobertura de Requisitos'!H119&gt;0,"Si","No"))</f>
        <v/>
      </c>
      <c r="G119" s="12" t="str">
        <f>IF($A119="","",'Cobertura de Requisitos'!J119)</f>
        <v/>
      </c>
      <c r="H119" s="9" t="str">
        <f>IF($A119="","",IF('Cobertura de Requisitos'!J119="Pendiente","Sin cobertura - requiere pruebas",IF('Cobertura de Requisitos'!J119="Parcial","Cobertura incompleta - revisar pruebas faltantes","Cobertura completa")))</f>
        <v/>
      </c>
    </row>
    <row r="120" ht="15.75" customHeight="1">
      <c r="A120" s="6" t="str">
        <f>IF('Cobertura de Requisitos'!A120="","",'Cobertura de Requisitos'!A120)</f>
        <v/>
      </c>
      <c r="B120" s="9" t="str">
        <f>IF($A120="","",'Cobertura de Requisitos'!B120)</f>
        <v/>
      </c>
      <c r="C120" s="8" t="str">
        <f>IF($A120="","",IF('Cobertura de Requisitos'!E120&gt;0,"Si","No"))</f>
        <v/>
      </c>
      <c r="D120" s="8" t="str">
        <f>IF($A120="","",IF('Cobertura de Requisitos'!F120&gt;0,"Si","No"))</f>
        <v/>
      </c>
      <c r="E120" s="8" t="str">
        <f>IF($A120="","",IF('Cobertura de Requisitos'!G120&gt;0,"Si","No"))</f>
        <v/>
      </c>
      <c r="F120" s="8" t="str">
        <f>IF($A120="","",IF('Cobertura de Requisitos'!H120&gt;0,"Si","No"))</f>
        <v/>
      </c>
      <c r="G120" s="12" t="str">
        <f>IF($A120="","",'Cobertura de Requisitos'!J120)</f>
        <v/>
      </c>
      <c r="H120" s="9" t="str">
        <f>IF($A120="","",IF('Cobertura de Requisitos'!J120="Pendiente","Sin cobertura - requiere pruebas",IF('Cobertura de Requisitos'!J120="Parcial","Cobertura incompleta - revisar pruebas faltantes","Cobertura completa")))</f>
        <v/>
      </c>
    </row>
    <row r="121" ht="15.75" customHeight="1">
      <c r="A121" s="6" t="str">
        <f>IF('Cobertura de Requisitos'!A121="","",'Cobertura de Requisitos'!A121)</f>
        <v/>
      </c>
      <c r="B121" s="9" t="str">
        <f>IF($A121="","",'Cobertura de Requisitos'!B121)</f>
        <v/>
      </c>
      <c r="C121" s="8" t="str">
        <f>IF($A121="","",IF('Cobertura de Requisitos'!E121&gt;0,"Si","No"))</f>
        <v/>
      </c>
      <c r="D121" s="8" t="str">
        <f>IF($A121="","",IF('Cobertura de Requisitos'!F121&gt;0,"Si","No"))</f>
        <v/>
      </c>
      <c r="E121" s="8" t="str">
        <f>IF($A121="","",IF('Cobertura de Requisitos'!G121&gt;0,"Si","No"))</f>
        <v/>
      </c>
      <c r="F121" s="8" t="str">
        <f>IF($A121="","",IF('Cobertura de Requisitos'!H121&gt;0,"Si","No"))</f>
        <v/>
      </c>
      <c r="G121" s="12" t="str">
        <f>IF($A121="","",'Cobertura de Requisitos'!J121)</f>
        <v/>
      </c>
      <c r="H121" s="9" t="str">
        <f>IF($A121="","",IF('Cobertura de Requisitos'!J121="Pendiente","Sin cobertura - requiere pruebas",IF('Cobertura de Requisitos'!J121="Parcial","Cobertura incompleta - revisar pruebas faltantes","Cobertura completa")))</f>
        <v/>
      </c>
    </row>
    <row r="122" ht="15.75" customHeight="1">
      <c r="A122" s="6" t="str">
        <f>IF('Cobertura de Requisitos'!A122="","",'Cobertura de Requisitos'!A122)</f>
        <v/>
      </c>
      <c r="B122" s="9" t="str">
        <f>IF($A122="","",'Cobertura de Requisitos'!B122)</f>
        <v/>
      </c>
      <c r="C122" s="8" t="str">
        <f>IF($A122="","",IF('Cobertura de Requisitos'!E122&gt;0,"Si","No"))</f>
        <v/>
      </c>
      <c r="D122" s="8" t="str">
        <f>IF($A122="","",IF('Cobertura de Requisitos'!F122&gt;0,"Si","No"))</f>
        <v/>
      </c>
      <c r="E122" s="8" t="str">
        <f>IF($A122="","",IF('Cobertura de Requisitos'!G122&gt;0,"Si","No"))</f>
        <v/>
      </c>
      <c r="F122" s="8" t="str">
        <f>IF($A122="","",IF('Cobertura de Requisitos'!H122&gt;0,"Si","No"))</f>
        <v/>
      </c>
      <c r="G122" s="12" t="str">
        <f>IF($A122="","",'Cobertura de Requisitos'!J122)</f>
        <v/>
      </c>
      <c r="H122" s="9" t="str">
        <f>IF($A122="","",IF('Cobertura de Requisitos'!J122="Pendiente","Sin cobertura - requiere pruebas",IF('Cobertura de Requisitos'!J122="Parcial","Cobertura incompleta - revisar pruebas faltantes","Cobertura completa")))</f>
        <v/>
      </c>
    </row>
    <row r="123" ht="15.75" customHeight="1">
      <c r="A123" s="6" t="str">
        <f>IF('Cobertura de Requisitos'!A123="","",'Cobertura de Requisitos'!A123)</f>
        <v/>
      </c>
      <c r="B123" s="9" t="str">
        <f>IF($A123="","",'Cobertura de Requisitos'!B123)</f>
        <v/>
      </c>
      <c r="C123" s="8" t="str">
        <f>IF($A123="","",IF('Cobertura de Requisitos'!E123&gt;0,"Si","No"))</f>
        <v/>
      </c>
      <c r="D123" s="8" t="str">
        <f>IF($A123="","",IF('Cobertura de Requisitos'!F123&gt;0,"Si","No"))</f>
        <v/>
      </c>
      <c r="E123" s="8" t="str">
        <f>IF($A123="","",IF('Cobertura de Requisitos'!G123&gt;0,"Si","No"))</f>
        <v/>
      </c>
      <c r="F123" s="8" t="str">
        <f>IF($A123="","",IF('Cobertura de Requisitos'!H123&gt;0,"Si","No"))</f>
        <v/>
      </c>
      <c r="G123" s="12" t="str">
        <f>IF($A123="","",'Cobertura de Requisitos'!J123)</f>
        <v/>
      </c>
      <c r="H123" s="9" t="str">
        <f>IF($A123="","",IF('Cobertura de Requisitos'!J123="Pendiente","Sin cobertura - requiere pruebas",IF('Cobertura de Requisitos'!J123="Parcial","Cobertura incompleta - revisar pruebas faltantes","Cobertura completa")))</f>
        <v/>
      </c>
    </row>
    <row r="124" ht="15.75" customHeight="1">
      <c r="A124" s="6" t="str">
        <f>IF('Cobertura de Requisitos'!A124="","",'Cobertura de Requisitos'!A124)</f>
        <v/>
      </c>
      <c r="B124" s="9" t="str">
        <f>IF($A124="","",'Cobertura de Requisitos'!B124)</f>
        <v/>
      </c>
      <c r="C124" s="8" t="str">
        <f>IF($A124="","",IF('Cobertura de Requisitos'!E124&gt;0,"Si","No"))</f>
        <v/>
      </c>
      <c r="D124" s="8" t="str">
        <f>IF($A124="","",IF('Cobertura de Requisitos'!F124&gt;0,"Si","No"))</f>
        <v/>
      </c>
      <c r="E124" s="8" t="str">
        <f>IF($A124="","",IF('Cobertura de Requisitos'!G124&gt;0,"Si","No"))</f>
        <v/>
      </c>
      <c r="F124" s="8" t="str">
        <f>IF($A124="","",IF('Cobertura de Requisitos'!H124&gt;0,"Si","No"))</f>
        <v/>
      </c>
      <c r="G124" s="12" t="str">
        <f>IF($A124="","",'Cobertura de Requisitos'!J124)</f>
        <v/>
      </c>
      <c r="H124" s="9" t="str">
        <f>IF($A124="","",IF('Cobertura de Requisitos'!J124="Pendiente","Sin cobertura - requiere pruebas",IF('Cobertura de Requisitos'!J124="Parcial","Cobertura incompleta - revisar pruebas faltantes","Cobertura completa")))</f>
        <v/>
      </c>
    </row>
    <row r="125" ht="15.75" customHeight="1">
      <c r="A125" s="6" t="str">
        <f>IF('Cobertura de Requisitos'!A125="","",'Cobertura de Requisitos'!A125)</f>
        <v/>
      </c>
      <c r="B125" s="9" t="str">
        <f>IF($A125="","",'Cobertura de Requisitos'!B125)</f>
        <v/>
      </c>
      <c r="C125" s="8" t="str">
        <f>IF($A125="","",IF('Cobertura de Requisitos'!E125&gt;0,"Si","No"))</f>
        <v/>
      </c>
      <c r="D125" s="8" t="str">
        <f>IF($A125="","",IF('Cobertura de Requisitos'!F125&gt;0,"Si","No"))</f>
        <v/>
      </c>
      <c r="E125" s="8" t="str">
        <f>IF($A125="","",IF('Cobertura de Requisitos'!G125&gt;0,"Si","No"))</f>
        <v/>
      </c>
      <c r="F125" s="8" t="str">
        <f>IF($A125="","",IF('Cobertura de Requisitos'!H125&gt;0,"Si","No"))</f>
        <v/>
      </c>
      <c r="G125" s="12" t="str">
        <f>IF($A125="","",'Cobertura de Requisitos'!J125)</f>
        <v/>
      </c>
      <c r="H125" s="9" t="str">
        <f>IF($A125="","",IF('Cobertura de Requisitos'!J125="Pendiente","Sin cobertura - requiere pruebas",IF('Cobertura de Requisitos'!J125="Parcial","Cobertura incompleta - revisar pruebas faltantes","Cobertura completa")))</f>
        <v/>
      </c>
    </row>
    <row r="126" ht="15.75" customHeight="1">
      <c r="A126" s="6" t="str">
        <f>IF('Cobertura de Requisitos'!A126="","",'Cobertura de Requisitos'!A126)</f>
        <v/>
      </c>
      <c r="B126" s="9" t="str">
        <f>IF($A126="","",'Cobertura de Requisitos'!B126)</f>
        <v/>
      </c>
      <c r="C126" s="8" t="str">
        <f>IF($A126="","",IF('Cobertura de Requisitos'!E126&gt;0,"Si","No"))</f>
        <v/>
      </c>
      <c r="D126" s="8" t="str">
        <f>IF($A126="","",IF('Cobertura de Requisitos'!F126&gt;0,"Si","No"))</f>
        <v/>
      </c>
      <c r="E126" s="8" t="str">
        <f>IF($A126="","",IF('Cobertura de Requisitos'!G126&gt;0,"Si","No"))</f>
        <v/>
      </c>
      <c r="F126" s="8" t="str">
        <f>IF($A126="","",IF('Cobertura de Requisitos'!H126&gt;0,"Si","No"))</f>
        <v/>
      </c>
      <c r="G126" s="12" t="str">
        <f>IF($A126="","",'Cobertura de Requisitos'!J126)</f>
        <v/>
      </c>
      <c r="H126" s="9" t="str">
        <f>IF($A126="","",IF('Cobertura de Requisitos'!J126="Pendiente","Sin cobertura - requiere pruebas",IF('Cobertura de Requisitos'!J126="Parcial","Cobertura incompleta - revisar pruebas faltantes","Cobertura completa")))</f>
        <v/>
      </c>
    </row>
    <row r="127" ht="15.75" customHeight="1">
      <c r="A127" s="6" t="str">
        <f>IF('Cobertura de Requisitos'!A127="","",'Cobertura de Requisitos'!A127)</f>
        <v/>
      </c>
      <c r="B127" s="9" t="str">
        <f>IF($A127="","",'Cobertura de Requisitos'!B127)</f>
        <v/>
      </c>
      <c r="C127" s="8" t="str">
        <f>IF($A127="","",IF('Cobertura de Requisitos'!E127&gt;0,"Si","No"))</f>
        <v/>
      </c>
      <c r="D127" s="8" t="str">
        <f>IF($A127="","",IF('Cobertura de Requisitos'!F127&gt;0,"Si","No"))</f>
        <v/>
      </c>
      <c r="E127" s="8" t="str">
        <f>IF($A127="","",IF('Cobertura de Requisitos'!G127&gt;0,"Si","No"))</f>
        <v/>
      </c>
      <c r="F127" s="8" t="str">
        <f>IF($A127="","",IF('Cobertura de Requisitos'!H127&gt;0,"Si","No"))</f>
        <v/>
      </c>
      <c r="G127" s="12" t="str">
        <f>IF($A127="","",'Cobertura de Requisitos'!J127)</f>
        <v/>
      </c>
      <c r="H127" s="9" t="str">
        <f>IF($A127="","",IF('Cobertura de Requisitos'!J127="Pendiente","Sin cobertura - requiere pruebas",IF('Cobertura de Requisitos'!J127="Parcial","Cobertura incompleta - revisar pruebas faltantes","Cobertura completa")))</f>
        <v/>
      </c>
    </row>
    <row r="128" ht="15.75" customHeight="1">
      <c r="A128" s="6" t="str">
        <f>IF('Cobertura de Requisitos'!A128="","",'Cobertura de Requisitos'!A128)</f>
        <v/>
      </c>
      <c r="B128" s="9" t="str">
        <f>IF($A128="","",'Cobertura de Requisitos'!B128)</f>
        <v/>
      </c>
      <c r="C128" s="8" t="str">
        <f>IF($A128="","",IF('Cobertura de Requisitos'!E128&gt;0,"Si","No"))</f>
        <v/>
      </c>
      <c r="D128" s="8" t="str">
        <f>IF($A128="","",IF('Cobertura de Requisitos'!F128&gt;0,"Si","No"))</f>
        <v/>
      </c>
      <c r="E128" s="8" t="str">
        <f>IF($A128="","",IF('Cobertura de Requisitos'!G128&gt;0,"Si","No"))</f>
        <v/>
      </c>
      <c r="F128" s="8" t="str">
        <f>IF($A128="","",IF('Cobertura de Requisitos'!H128&gt;0,"Si","No"))</f>
        <v/>
      </c>
      <c r="G128" s="12" t="str">
        <f>IF($A128="","",'Cobertura de Requisitos'!J128)</f>
        <v/>
      </c>
      <c r="H128" s="9" t="str">
        <f>IF($A128="","",IF('Cobertura de Requisitos'!J128="Pendiente","Sin cobertura - requiere pruebas",IF('Cobertura de Requisitos'!J128="Parcial","Cobertura incompleta - revisar pruebas faltantes","Cobertura completa")))</f>
        <v/>
      </c>
    </row>
    <row r="129" ht="15.75" customHeight="1">
      <c r="A129" s="6" t="str">
        <f>IF('Cobertura de Requisitos'!A129="","",'Cobertura de Requisitos'!A129)</f>
        <v/>
      </c>
      <c r="B129" s="9" t="str">
        <f>IF($A129="","",'Cobertura de Requisitos'!B129)</f>
        <v/>
      </c>
      <c r="C129" s="8" t="str">
        <f>IF($A129="","",IF('Cobertura de Requisitos'!E129&gt;0,"Si","No"))</f>
        <v/>
      </c>
      <c r="D129" s="8" t="str">
        <f>IF($A129="","",IF('Cobertura de Requisitos'!F129&gt;0,"Si","No"))</f>
        <v/>
      </c>
      <c r="E129" s="8" t="str">
        <f>IF($A129="","",IF('Cobertura de Requisitos'!G129&gt;0,"Si","No"))</f>
        <v/>
      </c>
      <c r="F129" s="8" t="str">
        <f>IF($A129="","",IF('Cobertura de Requisitos'!H129&gt;0,"Si","No"))</f>
        <v/>
      </c>
      <c r="G129" s="12" t="str">
        <f>IF($A129="","",'Cobertura de Requisitos'!J129)</f>
        <v/>
      </c>
      <c r="H129" s="9" t="str">
        <f>IF($A129="","",IF('Cobertura de Requisitos'!J129="Pendiente","Sin cobertura - requiere pruebas",IF('Cobertura de Requisitos'!J129="Parcial","Cobertura incompleta - revisar pruebas faltantes","Cobertura completa")))</f>
        <v/>
      </c>
    </row>
    <row r="130" ht="15.75" customHeight="1">
      <c r="A130" s="6" t="str">
        <f>IF('Cobertura de Requisitos'!A130="","",'Cobertura de Requisitos'!A130)</f>
        <v/>
      </c>
      <c r="B130" s="9" t="str">
        <f>IF($A130="","",'Cobertura de Requisitos'!B130)</f>
        <v/>
      </c>
      <c r="C130" s="8" t="str">
        <f>IF($A130="","",IF('Cobertura de Requisitos'!E130&gt;0,"Si","No"))</f>
        <v/>
      </c>
      <c r="D130" s="8" t="str">
        <f>IF($A130="","",IF('Cobertura de Requisitos'!F130&gt;0,"Si","No"))</f>
        <v/>
      </c>
      <c r="E130" s="8" t="str">
        <f>IF($A130="","",IF('Cobertura de Requisitos'!G130&gt;0,"Si","No"))</f>
        <v/>
      </c>
      <c r="F130" s="8" t="str">
        <f>IF($A130="","",IF('Cobertura de Requisitos'!H130&gt;0,"Si","No"))</f>
        <v/>
      </c>
      <c r="G130" s="12" t="str">
        <f>IF($A130="","",'Cobertura de Requisitos'!J130)</f>
        <v/>
      </c>
      <c r="H130" s="9" t="str">
        <f>IF($A130="","",IF('Cobertura de Requisitos'!J130="Pendiente","Sin cobertura - requiere pruebas",IF('Cobertura de Requisitos'!J130="Parcial","Cobertura incompleta - revisar pruebas faltantes","Cobertura completa")))</f>
        <v/>
      </c>
    </row>
    <row r="131" ht="15.75" customHeight="1">
      <c r="A131" s="6" t="str">
        <f>IF('Cobertura de Requisitos'!A131="","",'Cobertura de Requisitos'!A131)</f>
        <v/>
      </c>
      <c r="B131" s="9" t="str">
        <f>IF($A131="","",'Cobertura de Requisitos'!B131)</f>
        <v/>
      </c>
      <c r="C131" s="8" t="str">
        <f>IF($A131="","",IF('Cobertura de Requisitos'!E131&gt;0,"Si","No"))</f>
        <v/>
      </c>
      <c r="D131" s="8" t="str">
        <f>IF($A131="","",IF('Cobertura de Requisitos'!F131&gt;0,"Si","No"))</f>
        <v/>
      </c>
      <c r="E131" s="8" t="str">
        <f>IF($A131="","",IF('Cobertura de Requisitos'!G131&gt;0,"Si","No"))</f>
        <v/>
      </c>
      <c r="F131" s="8" t="str">
        <f>IF($A131="","",IF('Cobertura de Requisitos'!H131&gt;0,"Si","No"))</f>
        <v/>
      </c>
      <c r="G131" s="12" t="str">
        <f>IF($A131="","",'Cobertura de Requisitos'!J131)</f>
        <v/>
      </c>
      <c r="H131" s="9" t="str">
        <f>IF($A131="","",IF('Cobertura de Requisitos'!J131="Pendiente","Sin cobertura - requiere pruebas",IF('Cobertura de Requisitos'!J131="Parcial","Cobertura incompleta - revisar pruebas faltantes","Cobertura completa")))</f>
        <v/>
      </c>
    </row>
    <row r="132" ht="15.75" customHeight="1">
      <c r="A132" s="6" t="str">
        <f>IF('Cobertura de Requisitos'!A132="","",'Cobertura de Requisitos'!A132)</f>
        <v/>
      </c>
      <c r="B132" s="9" t="str">
        <f>IF($A132="","",'Cobertura de Requisitos'!B132)</f>
        <v/>
      </c>
      <c r="C132" s="8" t="str">
        <f>IF($A132="","",IF('Cobertura de Requisitos'!E132&gt;0,"Si","No"))</f>
        <v/>
      </c>
      <c r="D132" s="8" t="str">
        <f>IF($A132="","",IF('Cobertura de Requisitos'!F132&gt;0,"Si","No"))</f>
        <v/>
      </c>
      <c r="E132" s="8" t="str">
        <f>IF($A132="","",IF('Cobertura de Requisitos'!G132&gt;0,"Si","No"))</f>
        <v/>
      </c>
      <c r="F132" s="8" t="str">
        <f>IF($A132="","",IF('Cobertura de Requisitos'!H132&gt;0,"Si","No"))</f>
        <v/>
      </c>
      <c r="G132" s="12" t="str">
        <f>IF($A132="","",'Cobertura de Requisitos'!J132)</f>
        <v/>
      </c>
      <c r="H132" s="9" t="str">
        <f>IF($A132="","",IF('Cobertura de Requisitos'!J132="Pendiente","Sin cobertura - requiere pruebas",IF('Cobertura de Requisitos'!J132="Parcial","Cobertura incompleta - revisar pruebas faltantes","Cobertura completa")))</f>
        <v/>
      </c>
    </row>
    <row r="133" ht="15.75" customHeight="1">
      <c r="A133" s="6" t="str">
        <f>IF('Cobertura de Requisitos'!A133="","",'Cobertura de Requisitos'!A133)</f>
        <v/>
      </c>
      <c r="B133" s="9" t="str">
        <f>IF($A133="","",'Cobertura de Requisitos'!B133)</f>
        <v/>
      </c>
      <c r="C133" s="8" t="str">
        <f>IF($A133="","",IF('Cobertura de Requisitos'!E133&gt;0,"Si","No"))</f>
        <v/>
      </c>
      <c r="D133" s="8" t="str">
        <f>IF($A133="","",IF('Cobertura de Requisitos'!F133&gt;0,"Si","No"))</f>
        <v/>
      </c>
      <c r="E133" s="8" t="str">
        <f>IF($A133="","",IF('Cobertura de Requisitos'!G133&gt;0,"Si","No"))</f>
        <v/>
      </c>
      <c r="F133" s="8" t="str">
        <f>IF($A133="","",IF('Cobertura de Requisitos'!H133&gt;0,"Si","No"))</f>
        <v/>
      </c>
      <c r="G133" s="12" t="str">
        <f>IF($A133="","",'Cobertura de Requisitos'!J133)</f>
        <v/>
      </c>
      <c r="H133" s="9" t="str">
        <f>IF($A133="","",IF('Cobertura de Requisitos'!J133="Pendiente","Sin cobertura - requiere pruebas",IF('Cobertura de Requisitos'!J133="Parcial","Cobertura incompleta - revisar pruebas faltantes","Cobertura completa")))</f>
        <v/>
      </c>
    </row>
    <row r="134" ht="15.75" customHeight="1">
      <c r="A134" s="6" t="str">
        <f>IF('Cobertura de Requisitos'!A134="","",'Cobertura de Requisitos'!A134)</f>
        <v/>
      </c>
      <c r="B134" s="9" t="str">
        <f>IF($A134="","",'Cobertura de Requisitos'!B134)</f>
        <v/>
      </c>
      <c r="C134" s="8" t="str">
        <f>IF($A134="","",IF('Cobertura de Requisitos'!E134&gt;0,"Si","No"))</f>
        <v/>
      </c>
      <c r="D134" s="8" t="str">
        <f>IF($A134="","",IF('Cobertura de Requisitos'!F134&gt;0,"Si","No"))</f>
        <v/>
      </c>
      <c r="E134" s="8" t="str">
        <f>IF($A134="","",IF('Cobertura de Requisitos'!G134&gt;0,"Si","No"))</f>
        <v/>
      </c>
      <c r="F134" s="8" t="str">
        <f>IF($A134="","",IF('Cobertura de Requisitos'!H134&gt;0,"Si","No"))</f>
        <v/>
      </c>
      <c r="G134" s="12" t="str">
        <f>IF($A134="","",'Cobertura de Requisitos'!J134)</f>
        <v/>
      </c>
      <c r="H134" s="9" t="str">
        <f>IF($A134="","",IF('Cobertura de Requisitos'!J134="Pendiente","Sin cobertura - requiere pruebas",IF('Cobertura de Requisitos'!J134="Parcial","Cobertura incompleta - revisar pruebas faltantes","Cobertura completa")))</f>
        <v/>
      </c>
    </row>
    <row r="135" ht="15.75" customHeight="1">
      <c r="A135" s="6" t="str">
        <f>IF('Cobertura de Requisitos'!A135="","",'Cobertura de Requisitos'!A135)</f>
        <v/>
      </c>
      <c r="B135" s="9" t="str">
        <f>IF($A135="","",'Cobertura de Requisitos'!B135)</f>
        <v/>
      </c>
      <c r="C135" s="8" t="str">
        <f>IF($A135="","",IF('Cobertura de Requisitos'!E135&gt;0,"Si","No"))</f>
        <v/>
      </c>
      <c r="D135" s="8" t="str">
        <f>IF($A135="","",IF('Cobertura de Requisitos'!F135&gt;0,"Si","No"))</f>
        <v/>
      </c>
      <c r="E135" s="8" t="str">
        <f>IF($A135="","",IF('Cobertura de Requisitos'!G135&gt;0,"Si","No"))</f>
        <v/>
      </c>
      <c r="F135" s="8" t="str">
        <f>IF($A135="","",IF('Cobertura de Requisitos'!H135&gt;0,"Si","No"))</f>
        <v/>
      </c>
      <c r="G135" s="12" t="str">
        <f>IF($A135="","",'Cobertura de Requisitos'!J135)</f>
        <v/>
      </c>
      <c r="H135" s="9" t="str">
        <f>IF($A135="","",IF('Cobertura de Requisitos'!J135="Pendiente","Sin cobertura - requiere pruebas",IF('Cobertura de Requisitos'!J135="Parcial","Cobertura incompleta - revisar pruebas faltantes","Cobertura completa")))</f>
        <v/>
      </c>
    </row>
    <row r="136" ht="15.75" customHeight="1">
      <c r="A136" s="6" t="str">
        <f>IF('Cobertura de Requisitos'!A136="","",'Cobertura de Requisitos'!A136)</f>
        <v/>
      </c>
      <c r="B136" s="9" t="str">
        <f>IF($A136="","",'Cobertura de Requisitos'!B136)</f>
        <v/>
      </c>
      <c r="C136" s="8" t="str">
        <f>IF($A136="","",IF('Cobertura de Requisitos'!E136&gt;0,"Si","No"))</f>
        <v/>
      </c>
      <c r="D136" s="8" t="str">
        <f>IF($A136="","",IF('Cobertura de Requisitos'!F136&gt;0,"Si","No"))</f>
        <v/>
      </c>
      <c r="E136" s="8" t="str">
        <f>IF($A136="","",IF('Cobertura de Requisitos'!G136&gt;0,"Si","No"))</f>
        <v/>
      </c>
      <c r="F136" s="8" t="str">
        <f>IF($A136="","",IF('Cobertura de Requisitos'!H136&gt;0,"Si","No"))</f>
        <v/>
      </c>
      <c r="G136" s="12" t="str">
        <f>IF($A136="","",'Cobertura de Requisitos'!J136)</f>
        <v/>
      </c>
      <c r="H136" s="9" t="str">
        <f>IF($A136="","",IF('Cobertura de Requisitos'!J136="Pendiente","Sin cobertura - requiere pruebas",IF('Cobertura de Requisitos'!J136="Parcial","Cobertura incompleta - revisar pruebas faltantes","Cobertura completa")))</f>
        <v/>
      </c>
    </row>
    <row r="137" ht="15.75" customHeight="1">
      <c r="A137" s="6" t="str">
        <f>IF('Cobertura de Requisitos'!A137="","",'Cobertura de Requisitos'!A137)</f>
        <v/>
      </c>
      <c r="B137" s="9" t="str">
        <f>IF($A137="","",'Cobertura de Requisitos'!B137)</f>
        <v/>
      </c>
      <c r="C137" s="8" t="str">
        <f>IF($A137="","",IF('Cobertura de Requisitos'!E137&gt;0,"Si","No"))</f>
        <v/>
      </c>
      <c r="D137" s="8" t="str">
        <f>IF($A137="","",IF('Cobertura de Requisitos'!F137&gt;0,"Si","No"))</f>
        <v/>
      </c>
      <c r="E137" s="8" t="str">
        <f>IF($A137="","",IF('Cobertura de Requisitos'!G137&gt;0,"Si","No"))</f>
        <v/>
      </c>
      <c r="F137" s="8" t="str">
        <f>IF($A137="","",IF('Cobertura de Requisitos'!H137&gt;0,"Si","No"))</f>
        <v/>
      </c>
      <c r="G137" s="12" t="str">
        <f>IF($A137="","",'Cobertura de Requisitos'!J137)</f>
        <v/>
      </c>
      <c r="H137" s="9" t="str">
        <f>IF($A137="","",IF('Cobertura de Requisitos'!J137="Pendiente","Sin cobertura - requiere pruebas",IF('Cobertura de Requisitos'!J137="Parcial","Cobertura incompleta - revisar pruebas faltantes","Cobertura completa")))</f>
        <v/>
      </c>
    </row>
    <row r="138" ht="15.75" customHeight="1">
      <c r="A138" s="6" t="str">
        <f>IF('Cobertura de Requisitos'!A138="","",'Cobertura de Requisitos'!A138)</f>
        <v/>
      </c>
      <c r="B138" s="9" t="str">
        <f>IF($A138="","",'Cobertura de Requisitos'!B138)</f>
        <v/>
      </c>
      <c r="C138" s="8" t="str">
        <f>IF($A138="","",IF('Cobertura de Requisitos'!E138&gt;0,"Si","No"))</f>
        <v/>
      </c>
      <c r="D138" s="8" t="str">
        <f>IF($A138="","",IF('Cobertura de Requisitos'!F138&gt;0,"Si","No"))</f>
        <v/>
      </c>
      <c r="E138" s="8" t="str">
        <f>IF($A138="","",IF('Cobertura de Requisitos'!G138&gt;0,"Si","No"))</f>
        <v/>
      </c>
      <c r="F138" s="8" t="str">
        <f>IF($A138="","",IF('Cobertura de Requisitos'!H138&gt;0,"Si","No"))</f>
        <v/>
      </c>
      <c r="G138" s="12" t="str">
        <f>IF($A138="","",'Cobertura de Requisitos'!J138)</f>
        <v/>
      </c>
      <c r="H138" s="9" t="str">
        <f>IF($A138="","",IF('Cobertura de Requisitos'!J138="Pendiente","Sin cobertura - requiere pruebas",IF('Cobertura de Requisitos'!J138="Parcial","Cobertura incompleta - revisar pruebas faltantes","Cobertura completa")))</f>
        <v/>
      </c>
    </row>
    <row r="139" ht="15.75" customHeight="1">
      <c r="A139" s="6" t="str">
        <f>IF('Cobertura de Requisitos'!A139="","",'Cobertura de Requisitos'!A139)</f>
        <v/>
      </c>
      <c r="B139" s="9" t="str">
        <f>IF($A139="","",'Cobertura de Requisitos'!B139)</f>
        <v/>
      </c>
      <c r="C139" s="8" t="str">
        <f>IF($A139="","",IF('Cobertura de Requisitos'!E139&gt;0,"Si","No"))</f>
        <v/>
      </c>
      <c r="D139" s="8" t="str">
        <f>IF($A139="","",IF('Cobertura de Requisitos'!F139&gt;0,"Si","No"))</f>
        <v/>
      </c>
      <c r="E139" s="8" t="str">
        <f>IF($A139="","",IF('Cobertura de Requisitos'!G139&gt;0,"Si","No"))</f>
        <v/>
      </c>
      <c r="F139" s="8" t="str">
        <f>IF($A139="","",IF('Cobertura de Requisitos'!H139&gt;0,"Si","No"))</f>
        <v/>
      </c>
      <c r="G139" s="12" t="str">
        <f>IF($A139="","",'Cobertura de Requisitos'!J139)</f>
        <v/>
      </c>
      <c r="H139" s="9" t="str">
        <f>IF($A139="","",IF('Cobertura de Requisitos'!J139="Pendiente","Sin cobertura - requiere pruebas",IF('Cobertura de Requisitos'!J139="Parcial","Cobertura incompleta - revisar pruebas faltantes","Cobertura completa")))</f>
        <v/>
      </c>
    </row>
    <row r="140" ht="15.75" customHeight="1">
      <c r="A140" s="6" t="str">
        <f>IF('Cobertura de Requisitos'!A140="","",'Cobertura de Requisitos'!A140)</f>
        <v/>
      </c>
      <c r="B140" s="9" t="str">
        <f>IF($A140="","",'Cobertura de Requisitos'!B140)</f>
        <v/>
      </c>
      <c r="C140" s="8" t="str">
        <f>IF($A140="","",IF('Cobertura de Requisitos'!E140&gt;0,"Si","No"))</f>
        <v/>
      </c>
      <c r="D140" s="8" t="str">
        <f>IF($A140="","",IF('Cobertura de Requisitos'!F140&gt;0,"Si","No"))</f>
        <v/>
      </c>
      <c r="E140" s="8" t="str">
        <f>IF($A140="","",IF('Cobertura de Requisitos'!G140&gt;0,"Si","No"))</f>
        <v/>
      </c>
      <c r="F140" s="8" t="str">
        <f>IF($A140="","",IF('Cobertura de Requisitos'!H140&gt;0,"Si","No"))</f>
        <v/>
      </c>
      <c r="G140" s="12" t="str">
        <f>IF($A140="","",'Cobertura de Requisitos'!J140)</f>
        <v/>
      </c>
      <c r="H140" s="9" t="str">
        <f>IF($A140="","",IF('Cobertura de Requisitos'!J140="Pendiente","Sin cobertura - requiere pruebas",IF('Cobertura de Requisitos'!J140="Parcial","Cobertura incompleta - revisar pruebas faltantes","Cobertura completa")))</f>
        <v/>
      </c>
    </row>
    <row r="141" ht="15.75" customHeight="1">
      <c r="A141" s="6" t="str">
        <f>IF('Cobertura de Requisitos'!A141="","",'Cobertura de Requisitos'!A141)</f>
        <v/>
      </c>
      <c r="B141" s="9" t="str">
        <f>IF($A141="","",'Cobertura de Requisitos'!B141)</f>
        <v/>
      </c>
      <c r="C141" s="8" t="str">
        <f>IF($A141="","",IF('Cobertura de Requisitos'!E141&gt;0,"Si","No"))</f>
        <v/>
      </c>
      <c r="D141" s="8" t="str">
        <f>IF($A141="","",IF('Cobertura de Requisitos'!F141&gt;0,"Si","No"))</f>
        <v/>
      </c>
      <c r="E141" s="8" t="str">
        <f>IF($A141="","",IF('Cobertura de Requisitos'!G141&gt;0,"Si","No"))</f>
        <v/>
      </c>
      <c r="F141" s="8" t="str">
        <f>IF($A141="","",IF('Cobertura de Requisitos'!H141&gt;0,"Si","No"))</f>
        <v/>
      </c>
      <c r="G141" s="12" t="str">
        <f>IF($A141="","",'Cobertura de Requisitos'!J141)</f>
        <v/>
      </c>
      <c r="H141" s="9" t="str">
        <f>IF($A141="","",IF('Cobertura de Requisitos'!J141="Pendiente","Sin cobertura - requiere pruebas",IF('Cobertura de Requisitos'!J141="Parcial","Cobertura incompleta - revisar pruebas faltantes","Cobertura completa")))</f>
        <v/>
      </c>
    </row>
    <row r="142" ht="15.75" customHeight="1">
      <c r="A142" s="6" t="str">
        <f>IF('Cobertura de Requisitos'!A142="","",'Cobertura de Requisitos'!A142)</f>
        <v/>
      </c>
      <c r="B142" s="9" t="str">
        <f>IF($A142="","",'Cobertura de Requisitos'!B142)</f>
        <v/>
      </c>
      <c r="C142" s="8" t="str">
        <f>IF($A142="","",IF('Cobertura de Requisitos'!E142&gt;0,"Si","No"))</f>
        <v/>
      </c>
      <c r="D142" s="8" t="str">
        <f>IF($A142="","",IF('Cobertura de Requisitos'!F142&gt;0,"Si","No"))</f>
        <v/>
      </c>
      <c r="E142" s="8" t="str">
        <f>IF($A142="","",IF('Cobertura de Requisitos'!G142&gt;0,"Si","No"))</f>
        <v/>
      </c>
      <c r="F142" s="8" t="str">
        <f>IF($A142="","",IF('Cobertura de Requisitos'!H142&gt;0,"Si","No"))</f>
        <v/>
      </c>
      <c r="G142" s="12" t="str">
        <f>IF($A142="","",'Cobertura de Requisitos'!J142)</f>
        <v/>
      </c>
      <c r="H142" s="9" t="str">
        <f>IF($A142="","",IF('Cobertura de Requisitos'!J142="Pendiente","Sin cobertura - requiere pruebas",IF('Cobertura de Requisitos'!J142="Parcial","Cobertura incompleta - revisar pruebas faltantes","Cobertura completa")))</f>
        <v/>
      </c>
    </row>
    <row r="143" ht="15.75" customHeight="1">
      <c r="A143" s="6" t="str">
        <f>IF('Cobertura de Requisitos'!A143="","",'Cobertura de Requisitos'!A143)</f>
        <v/>
      </c>
      <c r="B143" s="9" t="str">
        <f>IF($A143="","",'Cobertura de Requisitos'!B143)</f>
        <v/>
      </c>
      <c r="C143" s="8" t="str">
        <f>IF($A143="","",IF('Cobertura de Requisitos'!E143&gt;0,"Si","No"))</f>
        <v/>
      </c>
      <c r="D143" s="8" t="str">
        <f>IF($A143="","",IF('Cobertura de Requisitos'!F143&gt;0,"Si","No"))</f>
        <v/>
      </c>
      <c r="E143" s="8" t="str">
        <f>IF($A143="","",IF('Cobertura de Requisitos'!G143&gt;0,"Si","No"))</f>
        <v/>
      </c>
      <c r="F143" s="8" t="str">
        <f>IF($A143="","",IF('Cobertura de Requisitos'!H143&gt;0,"Si","No"))</f>
        <v/>
      </c>
      <c r="G143" s="12" t="str">
        <f>IF($A143="","",'Cobertura de Requisitos'!J143)</f>
        <v/>
      </c>
      <c r="H143" s="9" t="str">
        <f>IF($A143="","",IF('Cobertura de Requisitos'!J143="Pendiente","Sin cobertura - requiere pruebas",IF('Cobertura de Requisitos'!J143="Parcial","Cobertura incompleta - revisar pruebas faltantes","Cobertura completa")))</f>
        <v/>
      </c>
    </row>
    <row r="144" ht="15.75" customHeight="1">
      <c r="A144" s="6" t="str">
        <f>IF('Cobertura de Requisitos'!A144="","",'Cobertura de Requisitos'!A144)</f>
        <v/>
      </c>
      <c r="B144" s="9" t="str">
        <f>IF($A144="","",'Cobertura de Requisitos'!B144)</f>
        <v/>
      </c>
      <c r="C144" s="8" t="str">
        <f>IF($A144="","",IF('Cobertura de Requisitos'!E144&gt;0,"Si","No"))</f>
        <v/>
      </c>
      <c r="D144" s="8" t="str">
        <f>IF($A144="","",IF('Cobertura de Requisitos'!F144&gt;0,"Si","No"))</f>
        <v/>
      </c>
      <c r="E144" s="8" t="str">
        <f>IF($A144="","",IF('Cobertura de Requisitos'!G144&gt;0,"Si","No"))</f>
        <v/>
      </c>
      <c r="F144" s="8" t="str">
        <f>IF($A144="","",IF('Cobertura de Requisitos'!H144&gt;0,"Si","No"))</f>
        <v/>
      </c>
      <c r="G144" s="12" t="str">
        <f>IF($A144="","",'Cobertura de Requisitos'!J144)</f>
        <v/>
      </c>
      <c r="H144" s="9" t="str">
        <f>IF($A144="","",IF('Cobertura de Requisitos'!J144="Pendiente","Sin cobertura - requiere pruebas",IF('Cobertura de Requisitos'!J144="Parcial","Cobertura incompleta - revisar pruebas faltantes","Cobertura completa")))</f>
        <v/>
      </c>
    </row>
    <row r="145" ht="15.75" customHeight="1">
      <c r="A145" s="6" t="str">
        <f>IF('Cobertura de Requisitos'!A145="","",'Cobertura de Requisitos'!A145)</f>
        <v/>
      </c>
      <c r="B145" s="9" t="str">
        <f>IF($A145="","",'Cobertura de Requisitos'!B145)</f>
        <v/>
      </c>
      <c r="C145" s="8" t="str">
        <f>IF($A145="","",IF('Cobertura de Requisitos'!E145&gt;0,"Si","No"))</f>
        <v/>
      </c>
      <c r="D145" s="8" t="str">
        <f>IF($A145="","",IF('Cobertura de Requisitos'!F145&gt;0,"Si","No"))</f>
        <v/>
      </c>
      <c r="E145" s="8" t="str">
        <f>IF($A145="","",IF('Cobertura de Requisitos'!G145&gt;0,"Si","No"))</f>
        <v/>
      </c>
      <c r="F145" s="8" t="str">
        <f>IF($A145="","",IF('Cobertura de Requisitos'!H145&gt;0,"Si","No"))</f>
        <v/>
      </c>
      <c r="G145" s="12" t="str">
        <f>IF($A145="","",'Cobertura de Requisitos'!J145)</f>
        <v/>
      </c>
      <c r="H145" s="9" t="str">
        <f>IF($A145="","",IF('Cobertura de Requisitos'!J145="Pendiente","Sin cobertura - requiere pruebas",IF('Cobertura de Requisitos'!J145="Parcial","Cobertura incompleta - revisar pruebas faltantes","Cobertura completa")))</f>
        <v/>
      </c>
    </row>
    <row r="146" ht="15.75" customHeight="1">
      <c r="A146" s="6" t="str">
        <f>IF('Cobertura de Requisitos'!A146="","",'Cobertura de Requisitos'!A146)</f>
        <v/>
      </c>
      <c r="B146" s="9" t="str">
        <f>IF($A146="","",'Cobertura de Requisitos'!B146)</f>
        <v/>
      </c>
      <c r="C146" s="8" t="str">
        <f>IF($A146="","",IF('Cobertura de Requisitos'!E146&gt;0,"Si","No"))</f>
        <v/>
      </c>
      <c r="D146" s="8" t="str">
        <f>IF($A146="","",IF('Cobertura de Requisitos'!F146&gt;0,"Si","No"))</f>
        <v/>
      </c>
      <c r="E146" s="8" t="str">
        <f>IF($A146="","",IF('Cobertura de Requisitos'!G146&gt;0,"Si","No"))</f>
        <v/>
      </c>
      <c r="F146" s="8" t="str">
        <f>IF($A146="","",IF('Cobertura de Requisitos'!H146&gt;0,"Si","No"))</f>
        <v/>
      </c>
      <c r="G146" s="12" t="str">
        <f>IF($A146="","",'Cobertura de Requisitos'!J146)</f>
        <v/>
      </c>
      <c r="H146" s="9" t="str">
        <f>IF($A146="","",IF('Cobertura de Requisitos'!J146="Pendiente","Sin cobertura - requiere pruebas",IF('Cobertura de Requisitos'!J146="Parcial","Cobertura incompleta - revisar pruebas faltantes","Cobertura completa")))</f>
        <v/>
      </c>
    </row>
    <row r="147" ht="15.75" customHeight="1">
      <c r="A147" s="6" t="str">
        <f>IF('Cobertura de Requisitos'!A147="","",'Cobertura de Requisitos'!A147)</f>
        <v/>
      </c>
      <c r="B147" s="9" t="str">
        <f>IF($A147="","",'Cobertura de Requisitos'!B147)</f>
        <v/>
      </c>
      <c r="C147" s="8" t="str">
        <f>IF($A147="","",IF('Cobertura de Requisitos'!E147&gt;0,"Si","No"))</f>
        <v/>
      </c>
      <c r="D147" s="8" t="str">
        <f>IF($A147="","",IF('Cobertura de Requisitos'!F147&gt;0,"Si","No"))</f>
        <v/>
      </c>
      <c r="E147" s="8" t="str">
        <f>IF($A147="","",IF('Cobertura de Requisitos'!G147&gt;0,"Si","No"))</f>
        <v/>
      </c>
      <c r="F147" s="8" t="str">
        <f>IF($A147="","",IF('Cobertura de Requisitos'!H147&gt;0,"Si","No"))</f>
        <v/>
      </c>
      <c r="G147" s="12" t="str">
        <f>IF($A147="","",'Cobertura de Requisitos'!J147)</f>
        <v/>
      </c>
      <c r="H147" s="9" t="str">
        <f>IF($A147="","",IF('Cobertura de Requisitos'!J147="Pendiente","Sin cobertura - requiere pruebas",IF('Cobertura de Requisitos'!J147="Parcial","Cobertura incompleta - revisar pruebas faltantes","Cobertura completa")))</f>
        <v/>
      </c>
    </row>
    <row r="148" ht="15.75" customHeight="1">
      <c r="A148" s="6" t="str">
        <f>IF('Cobertura de Requisitos'!A148="","",'Cobertura de Requisitos'!A148)</f>
        <v/>
      </c>
      <c r="B148" s="9" t="str">
        <f>IF($A148="","",'Cobertura de Requisitos'!B148)</f>
        <v/>
      </c>
      <c r="C148" s="8" t="str">
        <f>IF($A148="","",IF('Cobertura de Requisitos'!E148&gt;0,"Si","No"))</f>
        <v/>
      </c>
      <c r="D148" s="8" t="str">
        <f>IF($A148="","",IF('Cobertura de Requisitos'!F148&gt;0,"Si","No"))</f>
        <v/>
      </c>
      <c r="E148" s="8" t="str">
        <f>IF($A148="","",IF('Cobertura de Requisitos'!G148&gt;0,"Si","No"))</f>
        <v/>
      </c>
      <c r="F148" s="8" t="str">
        <f>IF($A148="","",IF('Cobertura de Requisitos'!H148&gt;0,"Si","No"))</f>
        <v/>
      </c>
      <c r="G148" s="12" t="str">
        <f>IF($A148="","",'Cobertura de Requisitos'!J148)</f>
        <v/>
      </c>
      <c r="H148" s="9" t="str">
        <f>IF($A148="","",IF('Cobertura de Requisitos'!J148="Pendiente","Sin cobertura - requiere pruebas",IF('Cobertura de Requisitos'!J148="Parcial","Cobertura incompleta - revisar pruebas faltantes","Cobertura completa")))</f>
        <v/>
      </c>
    </row>
    <row r="149" ht="15.75" customHeight="1">
      <c r="A149" s="6" t="str">
        <f>IF('Cobertura de Requisitos'!A149="","",'Cobertura de Requisitos'!A149)</f>
        <v/>
      </c>
      <c r="B149" s="9" t="str">
        <f>IF($A149="","",'Cobertura de Requisitos'!B149)</f>
        <v/>
      </c>
      <c r="C149" s="8" t="str">
        <f>IF($A149="","",IF('Cobertura de Requisitos'!E149&gt;0,"Si","No"))</f>
        <v/>
      </c>
      <c r="D149" s="8" t="str">
        <f>IF($A149="","",IF('Cobertura de Requisitos'!F149&gt;0,"Si","No"))</f>
        <v/>
      </c>
      <c r="E149" s="8" t="str">
        <f>IF($A149="","",IF('Cobertura de Requisitos'!G149&gt;0,"Si","No"))</f>
        <v/>
      </c>
      <c r="F149" s="8" t="str">
        <f>IF($A149="","",IF('Cobertura de Requisitos'!H149&gt;0,"Si","No"))</f>
        <v/>
      </c>
      <c r="G149" s="12" t="str">
        <f>IF($A149="","",'Cobertura de Requisitos'!J149)</f>
        <v/>
      </c>
      <c r="H149" s="9" t="str">
        <f>IF($A149="","",IF('Cobertura de Requisitos'!J149="Pendiente","Sin cobertura - requiere pruebas",IF('Cobertura de Requisitos'!J149="Parcial","Cobertura incompleta - revisar pruebas faltantes","Cobertura completa")))</f>
        <v/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H1"/>
    <mergeCell ref="A2:H2"/>
  </mergeCells>
  <conditionalFormatting sqref="C4:C149">
    <cfRule type="cellIs" dxfId="0" priority="1" operator="equal">
      <formula>"Si"</formula>
    </cfRule>
  </conditionalFormatting>
  <conditionalFormatting sqref="C4:C149">
    <cfRule type="cellIs" dxfId="2" priority="2" operator="equal">
      <formula>"No"</formula>
    </cfRule>
  </conditionalFormatting>
  <conditionalFormatting sqref="D4:D149">
    <cfRule type="cellIs" dxfId="0" priority="3" operator="equal">
      <formula>"Si"</formula>
    </cfRule>
  </conditionalFormatting>
  <conditionalFormatting sqref="D4:D149">
    <cfRule type="cellIs" dxfId="2" priority="4" operator="equal">
      <formula>"No"</formula>
    </cfRule>
  </conditionalFormatting>
  <conditionalFormatting sqref="E4:E149">
    <cfRule type="cellIs" dxfId="0" priority="5" operator="equal">
      <formula>"Si"</formula>
    </cfRule>
  </conditionalFormatting>
  <conditionalFormatting sqref="E4:E149">
    <cfRule type="cellIs" dxfId="2" priority="6" operator="equal">
      <formula>"No"</formula>
    </cfRule>
  </conditionalFormatting>
  <conditionalFormatting sqref="F4:F149">
    <cfRule type="cellIs" dxfId="0" priority="7" operator="equal">
      <formula>"Si"</formula>
    </cfRule>
  </conditionalFormatting>
  <conditionalFormatting sqref="F4:F149">
    <cfRule type="cellIs" dxfId="2" priority="8" operator="equal">
      <formula>"No"</formula>
    </cfRule>
  </conditionalFormatting>
  <conditionalFormatting sqref="G4:G149">
    <cfRule type="cellIs" dxfId="0" priority="9" operator="equal">
      <formula>"Completo"</formula>
    </cfRule>
  </conditionalFormatting>
  <conditionalFormatting sqref="G4:G149">
    <cfRule type="cellIs" dxfId="1" priority="10" operator="equal">
      <formula>"Parcial"</formula>
    </cfRule>
  </conditionalFormatting>
  <conditionalFormatting sqref="G4:G149">
    <cfRule type="cellIs" dxfId="2" priority="11" operator="equal">
      <formula>"Pendiente"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41.71"/>
    <col customWidth="1" min="3" max="3" width="31.29"/>
    <col customWidth="1" min="4" max="4" width="13.71"/>
    <col customWidth="1" min="5" max="5" width="20.57"/>
    <col customWidth="1" min="6" max="6" width="19.71"/>
    <col customWidth="1" min="7" max="7" width="17.14"/>
    <col customWidth="1" min="8" max="8" width="19.29"/>
    <col customWidth="1" min="9" max="10" width="13.0"/>
    <col customWidth="1" min="11" max="26" width="8.71"/>
  </cols>
  <sheetData>
    <row r="1" ht="27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 t="s">
        <v>5</v>
      </c>
    </row>
    <row r="3" ht="31.5" customHeight="1">
      <c r="A3" s="5" t="s">
        <v>4</v>
      </c>
      <c r="B3" s="5" t="s">
        <v>6</v>
      </c>
      <c r="C3" s="5" t="s">
        <v>10</v>
      </c>
      <c r="D3" s="5" t="s">
        <v>12</v>
      </c>
      <c r="E3" s="5" t="s">
        <v>14</v>
      </c>
      <c r="F3" s="5" t="s">
        <v>16</v>
      </c>
      <c r="G3" s="5" t="s">
        <v>11</v>
      </c>
      <c r="H3" s="5" t="s">
        <v>13</v>
      </c>
      <c r="I3" s="5" t="s">
        <v>20</v>
      </c>
      <c r="J3" s="5" t="s">
        <v>21</v>
      </c>
    </row>
    <row r="4" ht="28.5" customHeight="1">
      <c r="A4" s="6" t="s">
        <v>22</v>
      </c>
      <c r="B4" s="7" t="s">
        <v>24</v>
      </c>
      <c r="C4" s="8" t="s">
        <v>27</v>
      </c>
      <c r="D4" s="8" t="s">
        <v>28</v>
      </c>
      <c r="E4" s="10">
        <v>8.0</v>
      </c>
      <c r="F4" s="10">
        <v>8.0</v>
      </c>
      <c r="G4" s="11">
        <v>8.0</v>
      </c>
      <c r="H4" s="11">
        <v>0.0</v>
      </c>
      <c r="I4" s="13">
        <f t="shared" ref="I4:I149" si="1">IF($A4="","",(IF(E4&gt;0,1,0)+IF(F4&gt;0,1,0)+IF(G4&gt;0,1,0)+IF(H4&gt;0,1,0))/4)</f>
        <v>0.75</v>
      </c>
      <c r="J4" s="12" t="str">
        <f t="shared" ref="J4:J149" si="2">IF($A4="","",IF(I4=1,"Completo",IF(I4=0,"Pendiente","Parcial")))</f>
        <v>Parcial</v>
      </c>
    </row>
    <row r="5">
      <c r="A5" s="6" t="s">
        <v>29</v>
      </c>
      <c r="B5" s="7" t="s">
        <v>30</v>
      </c>
      <c r="C5" s="8" t="s">
        <v>27</v>
      </c>
      <c r="D5" s="14" t="s">
        <v>28</v>
      </c>
      <c r="E5" s="10">
        <v>5.0</v>
      </c>
      <c r="F5" s="11">
        <v>0.0</v>
      </c>
      <c r="G5" s="11">
        <v>0.0</v>
      </c>
      <c r="H5" s="11">
        <v>0.0</v>
      </c>
      <c r="I5" s="13">
        <f t="shared" si="1"/>
        <v>0.25</v>
      </c>
      <c r="J5" s="12" t="str">
        <f t="shared" si="2"/>
        <v>Parcial</v>
      </c>
    </row>
    <row r="6">
      <c r="A6" s="6" t="s">
        <v>32</v>
      </c>
      <c r="B6" s="7" t="s">
        <v>33</v>
      </c>
      <c r="C6" s="14" t="s">
        <v>27</v>
      </c>
      <c r="D6" s="8" t="s">
        <v>28</v>
      </c>
      <c r="E6" s="10">
        <v>6.0</v>
      </c>
      <c r="F6" s="11">
        <v>0.0</v>
      </c>
      <c r="G6" s="11">
        <v>0.0</v>
      </c>
      <c r="H6" s="11">
        <v>0.0</v>
      </c>
      <c r="I6" s="13">
        <f t="shared" si="1"/>
        <v>0.25</v>
      </c>
      <c r="J6" s="12" t="str">
        <f t="shared" si="2"/>
        <v>Parcial</v>
      </c>
    </row>
    <row r="7">
      <c r="A7" s="6" t="s">
        <v>34</v>
      </c>
      <c r="B7" s="7" t="s">
        <v>35</v>
      </c>
      <c r="C7" s="14" t="s">
        <v>27</v>
      </c>
      <c r="D7" s="14" t="s">
        <v>28</v>
      </c>
      <c r="E7" s="10">
        <v>3.0</v>
      </c>
      <c r="F7" s="11">
        <v>0.0</v>
      </c>
      <c r="G7" s="11">
        <v>0.0</v>
      </c>
      <c r="H7" s="11">
        <v>0.0</v>
      </c>
      <c r="I7" s="13">
        <f t="shared" si="1"/>
        <v>0.25</v>
      </c>
      <c r="J7" s="12" t="str">
        <f t="shared" si="2"/>
        <v>Parcial</v>
      </c>
    </row>
    <row r="8">
      <c r="A8" s="6" t="s">
        <v>36</v>
      </c>
      <c r="B8" s="7" t="s">
        <v>37</v>
      </c>
      <c r="C8" s="14" t="s">
        <v>27</v>
      </c>
      <c r="D8" s="8" t="s">
        <v>28</v>
      </c>
      <c r="E8" s="10">
        <v>7.0</v>
      </c>
      <c r="F8" s="11">
        <v>0.0</v>
      </c>
      <c r="G8" s="11">
        <v>0.0</v>
      </c>
      <c r="H8" s="11">
        <v>0.0</v>
      </c>
      <c r="I8" s="13">
        <f t="shared" si="1"/>
        <v>0.25</v>
      </c>
      <c r="J8" s="12" t="str">
        <f t="shared" si="2"/>
        <v>Parcial</v>
      </c>
    </row>
    <row r="9">
      <c r="A9" s="6" t="s">
        <v>38</v>
      </c>
      <c r="B9" s="7" t="s">
        <v>39</v>
      </c>
      <c r="C9" s="14" t="s">
        <v>27</v>
      </c>
      <c r="D9" s="8" t="s">
        <v>28</v>
      </c>
      <c r="E9" s="10">
        <v>9.0</v>
      </c>
      <c r="F9" s="11">
        <v>0.0</v>
      </c>
      <c r="G9" s="11">
        <v>0.0</v>
      </c>
      <c r="H9" s="11">
        <v>0.0</v>
      </c>
      <c r="I9" s="13">
        <f t="shared" si="1"/>
        <v>0.25</v>
      </c>
      <c r="J9" s="12" t="str">
        <f t="shared" si="2"/>
        <v>Parcial</v>
      </c>
    </row>
    <row r="10">
      <c r="A10" s="6" t="s">
        <v>40</v>
      </c>
      <c r="B10" s="17" t="s">
        <v>41</v>
      </c>
      <c r="C10" s="14" t="s">
        <v>27</v>
      </c>
      <c r="D10" s="8" t="s">
        <v>28</v>
      </c>
      <c r="E10" s="10">
        <v>6.0</v>
      </c>
      <c r="F10" s="11">
        <v>0.0</v>
      </c>
      <c r="G10" s="11">
        <v>0.0</v>
      </c>
      <c r="H10" s="11">
        <v>0.0</v>
      </c>
      <c r="I10" s="13">
        <f t="shared" si="1"/>
        <v>0.25</v>
      </c>
      <c r="J10" s="12" t="str">
        <f t="shared" si="2"/>
        <v>Parcial</v>
      </c>
    </row>
    <row r="11">
      <c r="A11" s="6" t="s">
        <v>42</v>
      </c>
      <c r="B11" s="7" t="s">
        <v>43</v>
      </c>
      <c r="C11" s="14" t="s">
        <v>27</v>
      </c>
      <c r="D11" s="14" t="s">
        <v>28</v>
      </c>
      <c r="E11" s="10">
        <v>4.0</v>
      </c>
      <c r="F11" s="11">
        <v>0.0</v>
      </c>
      <c r="G11" s="11">
        <v>0.0</v>
      </c>
      <c r="H11" s="11">
        <v>0.0</v>
      </c>
      <c r="I11" s="13">
        <f t="shared" si="1"/>
        <v>0.25</v>
      </c>
      <c r="J11" s="12" t="str">
        <f t="shared" si="2"/>
        <v>Parcial</v>
      </c>
    </row>
    <row r="12">
      <c r="A12" s="6" t="s">
        <v>44</v>
      </c>
      <c r="B12" s="7" t="s">
        <v>45</v>
      </c>
      <c r="C12" s="14" t="s">
        <v>27</v>
      </c>
      <c r="D12" s="8" t="s">
        <v>28</v>
      </c>
      <c r="E12" s="10">
        <v>10.0</v>
      </c>
      <c r="F12" s="11">
        <v>0.0</v>
      </c>
      <c r="G12" s="11">
        <v>0.0</v>
      </c>
      <c r="H12" s="11">
        <v>0.0</v>
      </c>
      <c r="I12" s="13">
        <f t="shared" si="1"/>
        <v>0.25</v>
      </c>
      <c r="J12" s="12" t="str">
        <f t="shared" si="2"/>
        <v>Parcial</v>
      </c>
    </row>
    <row r="13">
      <c r="A13" s="6" t="s">
        <v>46</v>
      </c>
      <c r="B13" s="7" t="s">
        <v>24</v>
      </c>
      <c r="C13" s="14" t="s">
        <v>47</v>
      </c>
      <c r="D13" s="14" t="s">
        <v>28</v>
      </c>
      <c r="E13" s="10">
        <v>5.0</v>
      </c>
      <c r="F13" s="11">
        <v>0.0</v>
      </c>
      <c r="G13" s="11">
        <v>0.0</v>
      </c>
      <c r="H13" s="11">
        <v>0.0</v>
      </c>
      <c r="I13" s="13">
        <f t="shared" si="1"/>
        <v>0.25</v>
      </c>
      <c r="J13" s="12" t="str">
        <f t="shared" si="2"/>
        <v>Parcial</v>
      </c>
    </row>
    <row r="14">
      <c r="A14" s="6" t="s">
        <v>48</v>
      </c>
      <c r="B14" s="7" t="s">
        <v>49</v>
      </c>
      <c r="C14" s="14" t="s">
        <v>47</v>
      </c>
      <c r="D14" s="8" t="s">
        <v>28</v>
      </c>
      <c r="E14" s="10">
        <v>7.0</v>
      </c>
      <c r="F14" s="11">
        <v>0.0</v>
      </c>
      <c r="G14" s="11">
        <v>0.0</v>
      </c>
      <c r="H14" s="11">
        <v>0.0</v>
      </c>
      <c r="I14" s="13">
        <f t="shared" si="1"/>
        <v>0.25</v>
      </c>
      <c r="J14" s="12" t="str">
        <f t="shared" si="2"/>
        <v>Parcial</v>
      </c>
    </row>
    <row r="15">
      <c r="A15" s="6" t="s">
        <v>50</v>
      </c>
      <c r="B15" s="7" t="s">
        <v>51</v>
      </c>
      <c r="C15" s="14" t="s">
        <v>47</v>
      </c>
      <c r="D15" s="14" t="s">
        <v>28</v>
      </c>
      <c r="E15" s="10">
        <v>4.0</v>
      </c>
      <c r="F15" s="11">
        <v>0.0</v>
      </c>
      <c r="G15" s="11">
        <v>0.0</v>
      </c>
      <c r="H15" s="11">
        <v>0.0</v>
      </c>
      <c r="I15" s="13">
        <f t="shared" si="1"/>
        <v>0.25</v>
      </c>
      <c r="J15" s="12" t="str">
        <f t="shared" si="2"/>
        <v>Parcial</v>
      </c>
    </row>
    <row r="16">
      <c r="A16" s="6" t="s">
        <v>53</v>
      </c>
      <c r="B16" s="7" t="s">
        <v>54</v>
      </c>
      <c r="C16" s="14" t="s">
        <v>47</v>
      </c>
      <c r="D16" s="14" t="s">
        <v>28</v>
      </c>
      <c r="E16" s="10">
        <v>5.0</v>
      </c>
      <c r="F16" s="11">
        <v>0.0</v>
      </c>
      <c r="G16" s="11">
        <v>0.0</v>
      </c>
      <c r="H16" s="11">
        <v>0.0</v>
      </c>
      <c r="I16" s="13">
        <f t="shared" si="1"/>
        <v>0.25</v>
      </c>
      <c r="J16" s="12" t="str">
        <f t="shared" si="2"/>
        <v>Parcial</v>
      </c>
    </row>
    <row r="17">
      <c r="A17" s="6" t="s">
        <v>55</v>
      </c>
      <c r="B17" s="7" t="s">
        <v>56</v>
      </c>
      <c r="C17" s="14" t="s">
        <v>57</v>
      </c>
      <c r="D17" s="14" t="s">
        <v>28</v>
      </c>
      <c r="E17" s="10">
        <v>3.0</v>
      </c>
      <c r="F17" s="11">
        <v>0.0</v>
      </c>
      <c r="G17" s="11">
        <v>0.0</v>
      </c>
      <c r="H17" s="11">
        <v>0.0</v>
      </c>
      <c r="I17" s="13">
        <f t="shared" si="1"/>
        <v>0.25</v>
      </c>
      <c r="J17" s="12" t="str">
        <f t="shared" si="2"/>
        <v>Parcial</v>
      </c>
    </row>
    <row r="18">
      <c r="A18" s="6" t="s">
        <v>58</v>
      </c>
      <c r="B18" s="18" t="s">
        <v>59</v>
      </c>
      <c r="C18" s="14" t="s">
        <v>57</v>
      </c>
      <c r="D18" s="14" t="s">
        <v>28</v>
      </c>
      <c r="E18" s="10">
        <v>0.0</v>
      </c>
      <c r="F18" s="11">
        <v>0.0</v>
      </c>
      <c r="G18" s="11">
        <v>0.0</v>
      </c>
      <c r="H18" s="11">
        <v>0.0</v>
      </c>
      <c r="I18" s="13">
        <f t="shared" si="1"/>
        <v>0</v>
      </c>
      <c r="J18" s="12" t="str">
        <f t="shared" si="2"/>
        <v>Pendiente</v>
      </c>
    </row>
    <row r="19">
      <c r="A19" s="6" t="s">
        <v>60</v>
      </c>
      <c r="B19" s="18" t="s">
        <v>61</v>
      </c>
      <c r="C19" s="14" t="s">
        <v>57</v>
      </c>
      <c r="D19" s="14" t="s">
        <v>28</v>
      </c>
      <c r="E19" s="10">
        <v>4.0</v>
      </c>
      <c r="F19" s="11">
        <v>0.0</v>
      </c>
      <c r="G19" s="11">
        <v>0.0</v>
      </c>
      <c r="H19" s="11">
        <v>0.0</v>
      </c>
      <c r="I19" s="13">
        <f t="shared" si="1"/>
        <v>0.25</v>
      </c>
      <c r="J19" s="12" t="str">
        <f t="shared" si="2"/>
        <v>Parcial</v>
      </c>
    </row>
    <row r="20">
      <c r="A20" s="6" t="s">
        <v>62</v>
      </c>
      <c r="B20" s="18" t="s">
        <v>63</v>
      </c>
      <c r="C20" s="19" t="s">
        <v>57</v>
      </c>
      <c r="D20" s="19" t="s">
        <v>28</v>
      </c>
      <c r="E20" s="20"/>
      <c r="F20" s="11">
        <v>0.0</v>
      </c>
      <c r="G20" s="11">
        <v>0.0</v>
      </c>
      <c r="H20" s="11">
        <v>0.0</v>
      </c>
      <c r="I20" s="13">
        <f t="shared" si="1"/>
        <v>0</v>
      </c>
      <c r="J20" s="12" t="str">
        <f t="shared" si="2"/>
        <v>Pendiente</v>
      </c>
    </row>
    <row r="21" ht="15.75" customHeight="1">
      <c r="A21" s="6" t="s">
        <v>64</v>
      </c>
      <c r="B21" s="7" t="s">
        <v>65</v>
      </c>
      <c r="C21" s="19" t="s">
        <v>57</v>
      </c>
      <c r="D21" s="19" t="s">
        <v>66</v>
      </c>
      <c r="E21" s="20"/>
      <c r="F21" s="11">
        <v>0.0</v>
      </c>
      <c r="G21" s="11">
        <v>0.0</v>
      </c>
      <c r="H21" s="11">
        <v>0.0</v>
      </c>
      <c r="I21" s="13">
        <f t="shared" si="1"/>
        <v>0</v>
      </c>
      <c r="J21" s="12" t="str">
        <f t="shared" si="2"/>
        <v>Pendiente</v>
      </c>
    </row>
    <row r="22" ht="15.75" customHeight="1">
      <c r="A22" s="6" t="s">
        <v>67</v>
      </c>
      <c r="B22" s="18" t="s">
        <v>68</v>
      </c>
      <c r="C22" s="19" t="s">
        <v>57</v>
      </c>
      <c r="D22" s="19" t="s">
        <v>66</v>
      </c>
      <c r="E22" s="20"/>
      <c r="F22" s="11">
        <v>0.0</v>
      </c>
      <c r="G22" s="11">
        <v>0.0</v>
      </c>
      <c r="H22" s="11">
        <v>0.0</v>
      </c>
      <c r="I22" s="13">
        <f t="shared" si="1"/>
        <v>0</v>
      </c>
      <c r="J22" s="12" t="str">
        <f t="shared" si="2"/>
        <v>Pendiente</v>
      </c>
    </row>
    <row r="23" ht="15.75" customHeight="1">
      <c r="A23" s="6" t="s">
        <v>69</v>
      </c>
      <c r="B23" s="18" t="s">
        <v>70</v>
      </c>
      <c r="C23" s="19" t="s">
        <v>57</v>
      </c>
      <c r="D23" s="19" t="s">
        <v>28</v>
      </c>
      <c r="E23" s="20"/>
      <c r="F23" s="11">
        <v>0.0</v>
      </c>
      <c r="G23" s="11">
        <v>0.0</v>
      </c>
      <c r="H23" s="11">
        <v>0.0</v>
      </c>
      <c r="I23" s="13">
        <f t="shared" si="1"/>
        <v>0</v>
      </c>
      <c r="J23" s="12" t="str">
        <f t="shared" si="2"/>
        <v>Pendiente</v>
      </c>
    </row>
    <row r="24" ht="15.75" customHeight="1">
      <c r="A24" s="6" t="s">
        <v>72</v>
      </c>
      <c r="B24" s="18" t="s">
        <v>73</v>
      </c>
      <c r="C24" s="19" t="s">
        <v>57</v>
      </c>
      <c r="D24" s="19" t="s">
        <v>28</v>
      </c>
      <c r="E24" s="20"/>
      <c r="F24" s="11">
        <v>0.0</v>
      </c>
      <c r="G24" s="11">
        <v>0.0</v>
      </c>
      <c r="H24" s="11">
        <v>0.0</v>
      </c>
      <c r="I24" s="13">
        <f t="shared" si="1"/>
        <v>0</v>
      </c>
      <c r="J24" s="12" t="str">
        <f t="shared" si="2"/>
        <v>Pendiente</v>
      </c>
    </row>
    <row r="25" ht="15.75" customHeight="1">
      <c r="A25" s="6" t="s">
        <v>74</v>
      </c>
      <c r="B25" s="21" t="s">
        <v>75</v>
      </c>
      <c r="C25" s="19" t="s">
        <v>76</v>
      </c>
      <c r="D25" s="19" t="s">
        <v>28</v>
      </c>
      <c r="E25" s="20"/>
      <c r="F25" s="11">
        <v>0.0</v>
      </c>
      <c r="G25" s="11">
        <v>0.0</v>
      </c>
      <c r="H25" s="11">
        <v>0.0</v>
      </c>
      <c r="I25" s="13">
        <f t="shared" si="1"/>
        <v>0</v>
      </c>
      <c r="J25" s="12" t="str">
        <f t="shared" si="2"/>
        <v>Pendiente</v>
      </c>
    </row>
    <row r="26" ht="15.75" customHeight="1">
      <c r="A26" s="6" t="s">
        <v>77</v>
      </c>
      <c r="B26" s="7" t="s">
        <v>78</v>
      </c>
      <c r="C26" s="19" t="s">
        <v>76</v>
      </c>
      <c r="D26" s="19" t="s">
        <v>28</v>
      </c>
      <c r="E26" s="20"/>
      <c r="F26" s="11">
        <v>0.0</v>
      </c>
      <c r="G26" s="11">
        <v>0.0</v>
      </c>
      <c r="H26" s="11">
        <v>0.0</v>
      </c>
      <c r="I26" s="13">
        <f t="shared" si="1"/>
        <v>0</v>
      </c>
      <c r="J26" s="12" t="str">
        <f t="shared" si="2"/>
        <v>Pendiente</v>
      </c>
    </row>
    <row r="27" ht="15.75" customHeight="1">
      <c r="A27" s="6" t="s">
        <v>79</v>
      </c>
      <c r="B27" s="7" t="s">
        <v>80</v>
      </c>
      <c r="C27" s="19" t="s">
        <v>76</v>
      </c>
      <c r="D27" s="19" t="s">
        <v>28</v>
      </c>
      <c r="E27" s="20"/>
      <c r="F27" s="11">
        <v>0.0</v>
      </c>
      <c r="G27" s="11">
        <v>0.0</v>
      </c>
      <c r="H27" s="11">
        <v>0.0</v>
      </c>
      <c r="I27" s="13">
        <f t="shared" si="1"/>
        <v>0</v>
      </c>
      <c r="J27" s="12" t="str">
        <f t="shared" si="2"/>
        <v>Pendiente</v>
      </c>
    </row>
    <row r="28" ht="15.75" customHeight="1">
      <c r="A28" s="6" t="s">
        <v>81</v>
      </c>
      <c r="B28" s="7" t="s">
        <v>82</v>
      </c>
      <c r="C28" s="19" t="s">
        <v>76</v>
      </c>
      <c r="D28" s="19" t="s">
        <v>28</v>
      </c>
      <c r="E28" s="20"/>
      <c r="F28" s="11">
        <v>0.0</v>
      </c>
      <c r="G28" s="11">
        <v>0.0</v>
      </c>
      <c r="H28" s="11">
        <v>0.0</v>
      </c>
      <c r="I28" s="13">
        <f t="shared" si="1"/>
        <v>0</v>
      </c>
      <c r="J28" s="12" t="str">
        <f t="shared" si="2"/>
        <v>Pendiente</v>
      </c>
    </row>
    <row r="29" ht="15.75" customHeight="1">
      <c r="A29" s="6" t="s">
        <v>83</v>
      </c>
      <c r="B29" s="7" t="s">
        <v>84</v>
      </c>
      <c r="C29" s="19" t="s">
        <v>85</v>
      </c>
      <c r="D29" s="19" t="s">
        <v>66</v>
      </c>
      <c r="E29" s="20"/>
      <c r="F29" s="11">
        <v>0.0</v>
      </c>
      <c r="G29" s="11">
        <v>0.0</v>
      </c>
      <c r="H29" s="11">
        <v>0.0</v>
      </c>
      <c r="I29" s="13">
        <f t="shared" si="1"/>
        <v>0</v>
      </c>
      <c r="J29" s="12" t="str">
        <f t="shared" si="2"/>
        <v>Pendiente</v>
      </c>
    </row>
    <row r="30" ht="15.75" customHeight="1">
      <c r="A30" s="6" t="s">
        <v>86</v>
      </c>
      <c r="B30" s="7" t="s">
        <v>87</v>
      </c>
      <c r="C30" s="19" t="s">
        <v>85</v>
      </c>
      <c r="D30" s="19" t="s">
        <v>66</v>
      </c>
      <c r="E30" s="20"/>
      <c r="F30" s="11">
        <v>0.0</v>
      </c>
      <c r="G30" s="11">
        <v>0.0</v>
      </c>
      <c r="H30" s="11">
        <v>0.0</v>
      </c>
      <c r="I30" s="13">
        <f t="shared" si="1"/>
        <v>0</v>
      </c>
      <c r="J30" s="12" t="str">
        <f t="shared" si="2"/>
        <v>Pendiente</v>
      </c>
    </row>
    <row r="31" ht="15.75" customHeight="1">
      <c r="A31" s="6" t="s">
        <v>88</v>
      </c>
      <c r="B31" s="7" t="s">
        <v>89</v>
      </c>
      <c r="C31" s="19" t="s">
        <v>85</v>
      </c>
      <c r="D31" s="19" t="s">
        <v>66</v>
      </c>
      <c r="E31" s="20"/>
      <c r="F31" s="11">
        <v>0.0</v>
      </c>
      <c r="G31" s="11">
        <v>0.0</v>
      </c>
      <c r="H31" s="11">
        <v>0.0</v>
      </c>
      <c r="I31" s="13">
        <f t="shared" si="1"/>
        <v>0</v>
      </c>
      <c r="J31" s="12" t="str">
        <f t="shared" si="2"/>
        <v>Pendiente</v>
      </c>
    </row>
    <row r="32" ht="15.75" customHeight="1">
      <c r="A32" s="6" t="s">
        <v>90</v>
      </c>
      <c r="B32" s="7" t="s">
        <v>91</v>
      </c>
      <c r="C32" s="19" t="s">
        <v>85</v>
      </c>
      <c r="D32" s="19" t="s">
        <v>66</v>
      </c>
      <c r="E32" s="20"/>
      <c r="F32" s="11">
        <v>0.0</v>
      </c>
      <c r="G32" s="11">
        <v>0.0</v>
      </c>
      <c r="H32" s="11">
        <v>0.0</v>
      </c>
      <c r="I32" s="13">
        <f t="shared" si="1"/>
        <v>0</v>
      </c>
      <c r="J32" s="12" t="str">
        <f t="shared" si="2"/>
        <v>Pendiente</v>
      </c>
    </row>
    <row r="33" ht="15.75" customHeight="1">
      <c r="A33" s="6" t="s">
        <v>92</v>
      </c>
      <c r="B33" s="7" t="s">
        <v>93</v>
      </c>
      <c r="C33" s="19" t="s">
        <v>94</v>
      </c>
      <c r="D33" s="19" t="s">
        <v>28</v>
      </c>
      <c r="E33" s="20"/>
      <c r="F33" s="11">
        <v>0.0</v>
      </c>
      <c r="G33" s="11">
        <v>0.0</v>
      </c>
      <c r="H33" s="11">
        <v>0.0</v>
      </c>
      <c r="I33" s="13">
        <f t="shared" si="1"/>
        <v>0</v>
      </c>
      <c r="J33" s="12" t="str">
        <f t="shared" si="2"/>
        <v>Pendiente</v>
      </c>
    </row>
    <row r="34" ht="15.75" customHeight="1">
      <c r="A34" s="6" t="s">
        <v>96</v>
      </c>
      <c r="B34" s="7" t="s">
        <v>97</v>
      </c>
      <c r="C34" s="19" t="s">
        <v>94</v>
      </c>
      <c r="D34" s="19" t="s">
        <v>28</v>
      </c>
      <c r="E34" s="20"/>
      <c r="F34" s="11">
        <v>0.0</v>
      </c>
      <c r="G34" s="11">
        <v>0.0</v>
      </c>
      <c r="H34" s="11">
        <v>0.0</v>
      </c>
      <c r="I34" s="13">
        <f t="shared" si="1"/>
        <v>0</v>
      </c>
      <c r="J34" s="12" t="str">
        <f t="shared" si="2"/>
        <v>Pendiente</v>
      </c>
    </row>
    <row r="35" ht="15.75" customHeight="1">
      <c r="A35" s="6" t="s">
        <v>101</v>
      </c>
      <c r="B35" s="7" t="s">
        <v>102</v>
      </c>
      <c r="C35" s="19" t="s">
        <v>103</v>
      </c>
      <c r="D35" s="19" t="s">
        <v>28</v>
      </c>
      <c r="E35" s="20"/>
      <c r="F35" s="11">
        <v>0.0</v>
      </c>
      <c r="G35" s="11">
        <v>0.0</v>
      </c>
      <c r="H35" s="11">
        <v>0.0</v>
      </c>
      <c r="I35" s="13">
        <f t="shared" si="1"/>
        <v>0</v>
      </c>
      <c r="J35" s="12" t="str">
        <f t="shared" si="2"/>
        <v>Pendiente</v>
      </c>
    </row>
    <row r="36" ht="15.75" customHeight="1">
      <c r="A36" s="6" t="s">
        <v>105</v>
      </c>
      <c r="B36" s="7" t="s">
        <v>106</v>
      </c>
      <c r="C36" s="19" t="s">
        <v>103</v>
      </c>
      <c r="D36" s="19" t="s">
        <v>28</v>
      </c>
      <c r="E36" s="20"/>
      <c r="F36" s="11">
        <v>0.0</v>
      </c>
      <c r="G36" s="11">
        <v>0.0</v>
      </c>
      <c r="H36" s="11">
        <v>0.0</v>
      </c>
      <c r="I36" s="13">
        <f t="shared" si="1"/>
        <v>0</v>
      </c>
      <c r="J36" s="12" t="str">
        <f t="shared" si="2"/>
        <v>Pendiente</v>
      </c>
    </row>
    <row r="37" ht="15.75" customHeight="1">
      <c r="A37" s="6" t="s">
        <v>108</v>
      </c>
      <c r="B37" s="7" t="s">
        <v>109</v>
      </c>
      <c r="C37" s="19" t="s">
        <v>103</v>
      </c>
      <c r="D37" s="19" t="s">
        <v>28</v>
      </c>
      <c r="E37" s="20"/>
      <c r="F37" s="11">
        <v>0.0</v>
      </c>
      <c r="G37" s="11">
        <v>0.0</v>
      </c>
      <c r="H37" s="11">
        <v>0.0</v>
      </c>
      <c r="I37" s="13">
        <f t="shared" si="1"/>
        <v>0</v>
      </c>
      <c r="J37" s="12" t="str">
        <f t="shared" si="2"/>
        <v>Pendiente</v>
      </c>
    </row>
    <row r="38" ht="15.75" customHeight="1">
      <c r="A38" s="6" t="s">
        <v>112</v>
      </c>
      <c r="B38" s="7" t="s">
        <v>113</v>
      </c>
      <c r="C38" s="19" t="s">
        <v>103</v>
      </c>
      <c r="D38" s="19" t="s">
        <v>28</v>
      </c>
      <c r="E38" s="20"/>
      <c r="F38" s="11">
        <v>0.0</v>
      </c>
      <c r="G38" s="11">
        <v>0.0</v>
      </c>
      <c r="H38" s="11">
        <v>0.0</v>
      </c>
      <c r="I38" s="13">
        <f t="shared" si="1"/>
        <v>0</v>
      </c>
      <c r="J38" s="12" t="str">
        <f t="shared" si="2"/>
        <v>Pendiente</v>
      </c>
    </row>
    <row r="39" ht="15.75" customHeight="1">
      <c r="A39" s="6"/>
      <c r="B39" s="20"/>
      <c r="C39" s="20"/>
      <c r="D39" s="20"/>
      <c r="E39" s="20"/>
      <c r="F39" s="20"/>
      <c r="G39" s="20"/>
      <c r="H39" s="20"/>
      <c r="I39" s="13" t="str">
        <f t="shared" si="1"/>
        <v/>
      </c>
      <c r="J39" s="12" t="str">
        <f t="shared" si="2"/>
        <v/>
      </c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13" t="str">
        <f t="shared" si="1"/>
        <v/>
      </c>
      <c r="J40" s="12" t="str">
        <f t="shared" si="2"/>
        <v/>
      </c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13" t="str">
        <f t="shared" si="1"/>
        <v/>
      </c>
      <c r="J41" s="12" t="str">
        <f t="shared" si="2"/>
        <v/>
      </c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13" t="str">
        <f t="shared" si="1"/>
        <v/>
      </c>
      <c r="J42" s="12" t="str">
        <f t="shared" si="2"/>
        <v/>
      </c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13" t="str">
        <f t="shared" si="1"/>
        <v/>
      </c>
      <c r="J43" s="12" t="str">
        <f t="shared" si="2"/>
        <v/>
      </c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13" t="str">
        <f t="shared" si="1"/>
        <v/>
      </c>
      <c r="J44" s="12" t="str">
        <f t="shared" si="2"/>
        <v/>
      </c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13" t="str">
        <f t="shared" si="1"/>
        <v/>
      </c>
      <c r="J45" s="12" t="str">
        <f t="shared" si="2"/>
        <v/>
      </c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13" t="str">
        <f t="shared" si="1"/>
        <v/>
      </c>
      <c r="J46" s="12" t="str">
        <f t="shared" si="2"/>
        <v/>
      </c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13" t="str">
        <f t="shared" si="1"/>
        <v/>
      </c>
      <c r="J47" s="12" t="str">
        <f t="shared" si="2"/>
        <v/>
      </c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13" t="str">
        <f t="shared" si="1"/>
        <v/>
      </c>
      <c r="J48" s="12" t="str">
        <f t="shared" si="2"/>
        <v/>
      </c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13" t="str">
        <f t="shared" si="1"/>
        <v/>
      </c>
      <c r="J49" s="12" t="str">
        <f t="shared" si="2"/>
        <v/>
      </c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13" t="str">
        <f t="shared" si="1"/>
        <v/>
      </c>
      <c r="J50" s="12" t="str">
        <f t="shared" si="2"/>
        <v/>
      </c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13" t="str">
        <f t="shared" si="1"/>
        <v/>
      </c>
      <c r="J51" s="12" t="str">
        <f t="shared" si="2"/>
        <v/>
      </c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13" t="str">
        <f t="shared" si="1"/>
        <v/>
      </c>
      <c r="J52" s="12" t="str">
        <f t="shared" si="2"/>
        <v/>
      </c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13" t="str">
        <f t="shared" si="1"/>
        <v/>
      </c>
      <c r="J53" s="12" t="str">
        <f t="shared" si="2"/>
        <v/>
      </c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13" t="str">
        <f t="shared" si="1"/>
        <v/>
      </c>
      <c r="J54" s="12" t="str">
        <f t="shared" si="2"/>
        <v/>
      </c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13" t="str">
        <f t="shared" si="1"/>
        <v/>
      </c>
      <c r="J55" s="12" t="str">
        <f t="shared" si="2"/>
        <v/>
      </c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13" t="str">
        <f t="shared" si="1"/>
        <v/>
      </c>
      <c r="J56" s="12" t="str">
        <f t="shared" si="2"/>
        <v/>
      </c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13" t="str">
        <f t="shared" si="1"/>
        <v/>
      </c>
      <c r="J57" s="12" t="str">
        <f t="shared" si="2"/>
        <v/>
      </c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13" t="str">
        <f t="shared" si="1"/>
        <v/>
      </c>
      <c r="J58" s="12" t="str">
        <f t="shared" si="2"/>
        <v/>
      </c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13" t="str">
        <f t="shared" si="1"/>
        <v/>
      </c>
      <c r="J59" s="12" t="str">
        <f t="shared" si="2"/>
        <v/>
      </c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13" t="str">
        <f t="shared" si="1"/>
        <v/>
      </c>
      <c r="J60" s="12" t="str">
        <f t="shared" si="2"/>
        <v/>
      </c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13" t="str">
        <f t="shared" si="1"/>
        <v/>
      </c>
      <c r="J61" s="12" t="str">
        <f t="shared" si="2"/>
        <v/>
      </c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13" t="str">
        <f t="shared" si="1"/>
        <v/>
      </c>
      <c r="J62" s="12" t="str">
        <f t="shared" si="2"/>
        <v/>
      </c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13" t="str">
        <f t="shared" si="1"/>
        <v/>
      </c>
      <c r="J63" s="12" t="str">
        <f t="shared" si="2"/>
        <v/>
      </c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13" t="str">
        <f t="shared" si="1"/>
        <v/>
      </c>
      <c r="J64" s="12" t="str">
        <f t="shared" si="2"/>
        <v/>
      </c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13" t="str">
        <f t="shared" si="1"/>
        <v/>
      </c>
      <c r="J65" s="12" t="str">
        <f t="shared" si="2"/>
        <v/>
      </c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13" t="str">
        <f t="shared" si="1"/>
        <v/>
      </c>
      <c r="J66" s="12" t="str">
        <f t="shared" si="2"/>
        <v/>
      </c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13" t="str">
        <f t="shared" si="1"/>
        <v/>
      </c>
      <c r="J67" s="12" t="str">
        <f t="shared" si="2"/>
        <v/>
      </c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13" t="str">
        <f t="shared" si="1"/>
        <v/>
      </c>
      <c r="J68" s="12" t="str">
        <f t="shared" si="2"/>
        <v/>
      </c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13" t="str">
        <f t="shared" si="1"/>
        <v/>
      </c>
      <c r="J69" s="12" t="str">
        <f t="shared" si="2"/>
        <v/>
      </c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13" t="str">
        <f t="shared" si="1"/>
        <v/>
      </c>
      <c r="J70" s="12" t="str">
        <f t="shared" si="2"/>
        <v/>
      </c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13" t="str">
        <f t="shared" si="1"/>
        <v/>
      </c>
      <c r="J71" s="12" t="str">
        <f t="shared" si="2"/>
        <v/>
      </c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13" t="str">
        <f t="shared" si="1"/>
        <v/>
      </c>
      <c r="J72" s="12" t="str">
        <f t="shared" si="2"/>
        <v/>
      </c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13" t="str">
        <f t="shared" si="1"/>
        <v/>
      </c>
      <c r="J73" s="12" t="str">
        <f t="shared" si="2"/>
        <v/>
      </c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13" t="str">
        <f t="shared" si="1"/>
        <v/>
      </c>
      <c r="J74" s="12" t="str">
        <f t="shared" si="2"/>
        <v/>
      </c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13" t="str">
        <f t="shared" si="1"/>
        <v/>
      </c>
      <c r="J75" s="12" t="str">
        <f t="shared" si="2"/>
        <v/>
      </c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13" t="str">
        <f t="shared" si="1"/>
        <v/>
      </c>
      <c r="J76" s="12" t="str">
        <f t="shared" si="2"/>
        <v/>
      </c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13" t="str">
        <f t="shared" si="1"/>
        <v/>
      </c>
      <c r="J77" s="12" t="str">
        <f t="shared" si="2"/>
        <v/>
      </c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13" t="str">
        <f t="shared" si="1"/>
        <v/>
      </c>
      <c r="J78" s="12" t="str">
        <f t="shared" si="2"/>
        <v/>
      </c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13" t="str">
        <f t="shared" si="1"/>
        <v/>
      </c>
      <c r="J79" s="12" t="str">
        <f t="shared" si="2"/>
        <v/>
      </c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13" t="str">
        <f t="shared" si="1"/>
        <v/>
      </c>
      <c r="J80" s="12" t="str">
        <f t="shared" si="2"/>
        <v/>
      </c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13" t="str">
        <f t="shared" si="1"/>
        <v/>
      </c>
      <c r="J81" s="12" t="str">
        <f t="shared" si="2"/>
        <v/>
      </c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13" t="str">
        <f t="shared" si="1"/>
        <v/>
      </c>
      <c r="J82" s="12" t="str">
        <f t="shared" si="2"/>
        <v/>
      </c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13" t="str">
        <f t="shared" si="1"/>
        <v/>
      </c>
      <c r="J83" s="12" t="str">
        <f t="shared" si="2"/>
        <v/>
      </c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13" t="str">
        <f t="shared" si="1"/>
        <v/>
      </c>
      <c r="J84" s="12" t="str">
        <f t="shared" si="2"/>
        <v/>
      </c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13" t="str">
        <f t="shared" si="1"/>
        <v/>
      </c>
      <c r="J85" s="12" t="str">
        <f t="shared" si="2"/>
        <v/>
      </c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13" t="str">
        <f t="shared" si="1"/>
        <v/>
      </c>
      <c r="J86" s="12" t="str">
        <f t="shared" si="2"/>
        <v/>
      </c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13" t="str">
        <f t="shared" si="1"/>
        <v/>
      </c>
      <c r="J87" s="12" t="str">
        <f t="shared" si="2"/>
        <v/>
      </c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13" t="str">
        <f t="shared" si="1"/>
        <v/>
      </c>
      <c r="J88" s="12" t="str">
        <f t="shared" si="2"/>
        <v/>
      </c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13" t="str">
        <f t="shared" si="1"/>
        <v/>
      </c>
      <c r="J89" s="12" t="str">
        <f t="shared" si="2"/>
        <v/>
      </c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13" t="str">
        <f t="shared" si="1"/>
        <v/>
      </c>
      <c r="J90" s="12" t="str">
        <f t="shared" si="2"/>
        <v/>
      </c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13" t="str">
        <f t="shared" si="1"/>
        <v/>
      </c>
      <c r="J91" s="12" t="str">
        <f t="shared" si="2"/>
        <v/>
      </c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13" t="str">
        <f t="shared" si="1"/>
        <v/>
      </c>
      <c r="J92" s="12" t="str">
        <f t="shared" si="2"/>
        <v/>
      </c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13" t="str">
        <f t="shared" si="1"/>
        <v/>
      </c>
      <c r="J93" s="12" t="str">
        <f t="shared" si="2"/>
        <v/>
      </c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13" t="str">
        <f t="shared" si="1"/>
        <v/>
      </c>
      <c r="J94" s="12" t="str">
        <f t="shared" si="2"/>
        <v/>
      </c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13" t="str">
        <f t="shared" si="1"/>
        <v/>
      </c>
      <c r="J95" s="12" t="str">
        <f t="shared" si="2"/>
        <v/>
      </c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13" t="str">
        <f t="shared" si="1"/>
        <v/>
      </c>
      <c r="J96" s="12" t="str">
        <f t="shared" si="2"/>
        <v/>
      </c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13" t="str">
        <f t="shared" si="1"/>
        <v/>
      </c>
      <c r="J97" s="12" t="str">
        <f t="shared" si="2"/>
        <v/>
      </c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13" t="str">
        <f t="shared" si="1"/>
        <v/>
      </c>
      <c r="J98" s="12" t="str">
        <f t="shared" si="2"/>
        <v/>
      </c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13" t="str">
        <f t="shared" si="1"/>
        <v/>
      </c>
      <c r="J99" s="12" t="str">
        <f t="shared" si="2"/>
        <v/>
      </c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13" t="str">
        <f t="shared" si="1"/>
        <v/>
      </c>
      <c r="J100" s="12" t="str">
        <f t="shared" si="2"/>
        <v/>
      </c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13" t="str">
        <f t="shared" si="1"/>
        <v/>
      </c>
      <c r="J101" s="12" t="str">
        <f t="shared" si="2"/>
        <v/>
      </c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13" t="str">
        <f t="shared" si="1"/>
        <v/>
      </c>
      <c r="J102" s="12" t="str">
        <f t="shared" si="2"/>
        <v/>
      </c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13" t="str">
        <f t="shared" si="1"/>
        <v/>
      </c>
      <c r="J103" s="12" t="str">
        <f t="shared" si="2"/>
        <v/>
      </c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13" t="str">
        <f t="shared" si="1"/>
        <v/>
      </c>
      <c r="J104" s="12" t="str">
        <f t="shared" si="2"/>
        <v/>
      </c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13" t="str">
        <f t="shared" si="1"/>
        <v/>
      </c>
      <c r="J105" s="12" t="str">
        <f t="shared" si="2"/>
        <v/>
      </c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13" t="str">
        <f t="shared" si="1"/>
        <v/>
      </c>
      <c r="J106" s="12" t="str">
        <f t="shared" si="2"/>
        <v/>
      </c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13" t="str">
        <f t="shared" si="1"/>
        <v/>
      </c>
      <c r="J107" s="12" t="str">
        <f t="shared" si="2"/>
        <v/>
      </c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13" t="str">
        <f t="shared" si="1"/>
        <v/>
      </c>
      <c r="J108" s="12" t="str">
        <f t="shared" si="2"/>
        <v/>
      </c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13" t="str">
        <f t="shared" si="1"/>
        <v/>
      </c>
      <c r="J109" s="12" t="str">
        <f t="shared" si="2"/>
        <v/>
      </c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13" t="str">
        <f t="shared" si="1"/>
        <v/>
      </c>
      <c r="J110" s="12" t="str">
        <f t="shared" si="2"/>
        <v/>
      </c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13" t="str">
        <f t="shared" si="1"/>
        <v/>
      </c>
      <c r="J111" s="12" t="str">
        <f t="shared" si="2"/>
        <v/>
      </c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13" t="str">
        <f t="shared" si="1"/>
        <v/>
      </c>
      <c r="J112" s="12" t="str">
        <f t="shared" si="2"/>
        <v/>
      </c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13" t="str">
        <f t="shared" si="1"/>
        <v/>
      </c>
      <c r="J113" s="12" t="str">
        <f t="shared" si="2"/>
        <v/>
      </c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13" t="str">
        <f t="shared" si="1"/>
        <v/>
      </c>
      <c r="J114" s="12" t="str">
        <f t="shared" si="2"/>
        <v/>
      </c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13" t="str">
        <f t="shared" si="1"/>
        <v/>
      </c>
      <c r="J115" s="12" t="str">
        <f t="shared" si="2"/>
        <v/>
      </c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13" t="str">
        <f t="shared" si="1"/>
        <v/>
      </c>
      <c r="J116" s="12" t="str">
        <f t="shared" si="2"/>
        <v/>
      </c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13" t="str">
        <f t="shared" si="1"/>
        <v/>
      </c>
      <c r="J117" s="12" t="str">
        <f t="shared" si="2"/>
        <v/>
      </c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13" t="str">
        <f t="shared" si="1"/>
        <v/>
      </c>
      <c r="J118" s="12" t="str">
        <f t="shared" si="2"/>
        <v/>
      </c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13" t="str">
        <f t="shared" si="1"/>
        <v/>
      </c>
      <c r="J119" s="12" t="str">
        <f t="shared" si="2"/>
        <v/>
      </c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13" t="str">
        <f t="shared" si="1"/>
        <v/>
      </c>
      <c r="J120" s="12" t="str">
        <f t="shared" si="2"/>
        <v/>
      </c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13" t="str">
        <f t="shared" si="1"/>
        <v/>
      </c>
      <c r="J121" s="12" t="str">
        <f t="shared" si="2"/>
        <v/>
      </c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13" t="str">
        <f t="shared" si="1"/>
        <v/>
      </c>
      <c r="J122" s="12" t="str">
        <f t="shared" si="2"/>
        <v/>
      </c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13" t="str">
        <f t="shared" si="1"/>
        <v/>
      </c>
      <c r="J123" s="12" t="str">
        <f t="shared" si="2"/>
        <v/>
      </c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13" t="str">
        <f t="shared" si="1"/>
        <v/>
      </c>
      <c r="J124" s="12" t="str">
        <f t="shared" si="2"/>
        <v/>
      </c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13" t="str">
        <f t="shared" si="1"/>
        <v/>
      </c>
      <c r="J125" s="12" t="str">
        <f t="shared" si="2"/>
        <v/>
      </c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13" t="str">
        <f t="shared" si="1"/>
        <v/>
      </c>
      <c r="J126" s="12" t="str">
        <f t="shared" si="2"/>
        <v/>
      </c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13" t="str">
        <f t="shared" si="1"/>
        <v/>
      </c>
      <c r="J127" s="12" t="str">
        <f t="shared" si="2"/>
        <v/>
      </c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13" t="str">
        <f t="shared" si="1"/>
        <v/>
      </c>
      <c r="J128" s="12" t="str">
        <f t="shared" si="2"/>
        <v/>
      </c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13" t="str">
        <f t="shared" si="1"/>
        <v/>
      </c>
      <c r="J129" s="12" t="str">
        <f t="shared" si="2"/>
        <v/>
      </c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13" t="str">
        <f t="shared" si="1"/>
        <v/>
      </c>
      <c r="J130" s="12" t="str">
        <f t="shared" si="2"/>
        <v/>
      </c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13" t="str">
        <f t="shared" si="1"/>
        <v/>
      </c>
      <c r="J131" s="12" t="str">
        <f t="shared" si="2"/>
        <v/>
      </c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13" t="str">
        <f t="shared" si="1"/>
        <v/>
      </c>
      <c r="J132" s="12" t="str">
        <f t="shared" si="2"/>
        <v/>
      </c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13" t="str">
        <f t="shared" si="1"/>
        <v/>
      </c>
      <c r="J133" s="12" t="str">
        <f t="shared" si="2"/>
        <v/>
      </c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13" t="str">
        <f t="shared" si="1"/>
        <v/>
      </c>
      <c r="J134" s="12" t="str">
        <f t="shared" si="2"/>
        <v/>
      </c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13" t="str">
        <f t="shared" si="1"/>
        <v/>
      </c>
      <c r="J135" s="12" t="str">
        <f t="shared" si="2"/>
        <v/>
      </c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13" t="str">
        <f t="shared" si="1"/>
        <v/>
      </c>
      <c r="J136" s="12" t="str">
        <f t="shared" si="2"/>
        <v/>
      </c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13" t="str">
        <f t="shared" si="1"/>
        <v/>
      </c>
      <c r="J137" s="12" t="str">
        <f t="shared" si="2"/>
        <v/>
      </c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13" t="str">
        <f t="shared" si="1"/>
        <v/>
      </c>
      <c r="J138" s="12" t="str">
        <f t="shared" si="2"/>
        <v/>
      </c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13" t="str">
        <f t="shared" si="1"/>
        <v/>
      </c>
      <c r="J139" s="12" t="str">
        <f t="shared" si="2"/>
        <v/>
      </c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13" t="str">
        <f t="shared" si="1"/>
        <v/>
      </c>
      <c r="J140" s="12" t="str">
        <f t="shared" si="2"/>
        <v/>
      </c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13" t="str">
        <f t="shared" si="1"/>
        <v/>
      </c>
      <c r="J141" s="12" t="str">
        <f t="shared" si="2"/>
        <v/>
      </c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13" t="str">
        <f t="shared" si="1"/>
        <v/>
      </c>
      <c r="J142" s="12" t="str">
        <f t="shared" si="2"/>
        <v/>
      </c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13" t="str">
        <f t="shared" si="1"/>
        <v/>
      </c>
      <c r="J143" s="12" t="str">
        <f t="shared" si="2"/>
        <v/>
      </c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13" t="str">
        <f t="shared" si="1"/>
        <v/>
      </c>
      <c r="J144" s="12" t="str">
        <f t="shared" si="2"/>
        <v/>
      </c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13" t="str">
        <f t="shared" si="1"/>
        <v/>
      </c>
      <c r="J145" s="12" t="str">
        <f t="shared" si="2"/>
        <v/>
      </c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13" t="str">
        <f t="shared" si="1"/>
        <v/>
      </c>
      <c r="J146" s="12" t="str">
        <f t="shared" si="2"/>
        <v/>
      </c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13" t="str">
        <f t="shared" si="1"/>
        <v/>
      </c>
      <c r="J147" s="12" t="str">
        <f t="shared" si="2"/>
        <v/>
      </c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13" t="str">
        <f t="shared" si="1"/>
        <v/>
      </c>
      <c r="J148" s="12" t="str">
        <f t="shared" si="2"/>
        <v/>
      </c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13" t="str">
        <f t="shared" si="1"/>
        <v/>
      </c>
      <c r="J149" s="12" t="str">
        <f t="shared" si="2"/>
        <v/>
      </c>
    </row>
    <row r="150" ht="15.75" customHeight="1"/>
    <row r="151" ht="15.75" customHeight="1">
      <c r="A151" s="50" t="s">
        <v>159</v>
      </c>
      <c r="B151" s="4" t="s">
        <v>160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J1"/>
    <mergeCell ref="A2:J2"/>
    <mergeCell ref="B151:J151"/>
  </mergeCells>
  <conditionalFormatting sqref="I4:I149">
    <cfRule type="colorScale" priority="1">
      <colorScale>
        <cfvo type="formula" val="0"/>
        <cfvo type="formula" val="0.5"/>
        <cfvo type="formula" val="1"/>
        <color rgb="FFF8696B"/>
        <color rgb="FFFFEB84"/>
        <color rgb="FF63BE7B"/>
      </colorScale>
    </cfRule>
  </conditionalFormatting>
  <conditionalFormatting sqref="J4:J149">
    <cfRule type="cellIs" dxfId="0" priority="2" operator="equal">
      <formula>"Completo"</formula>
    </cfRule>
  </conditionalFormatting>
  <conditionalFormatting sqref="J4:J149">
    <cfRule type="cellIs" dxfId="1" priority="3" operator="equal">
      <formula>"Parcial"</formula>
    </cfRule>
  </conditionalFormatting>
  <conditionalFormatting sqref="J4:J149">
    <cfRule type="cellIs" dxfId="2" priority="4" operator="equal">
      <formula>"Pendiente"</formula>
    </cfRule>
  </conditionalFormatting>
  <dataValidations>
    <dataValidation type="list" allowBlank="1" sqref="D4:D149">
      <formula1>"Alta,Media,Baja"</formula1>
    </dataValidation>
    <dataValidation type="list" allowBlank="1" sqref="C4:C149">
      <formula1>"Autenticacion,Gestion de Usuarios,Ventas,Gestión de productos,Inventario,Reportes y estadisticas,Gestión de proveedores"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6.71"/>
    <col customWidth="1" min="3" max="5" width="11.0"/>
    <col customWidth="1" min="6" max="6" width="16.0"/>
    <col customWidth="1" min="7" max="7" width="18.57"/>
    <col customWidth="1" min="8" max="9" width="13.0"/>
    <col customWidth="1" min="10" max="10" width="28.0"/>
    <col customWidth="1" min="11" max="26" width="8.71"/>
  </cols>
  <sheetData>
    <row r="1" ht="27.7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8</v>
      </c>
    </row>
    <row r="3" ht="30.0" customHeight="1">
      <c r="A3" s="5" t="s">
        <v>4</v>
      </c>
      <c r="B3" s="5" t="s">
        <v>6</v>
      </c>
      <c r="C3" s="5" t="s">
        <v>17</v>
      </c>
      <c r="D3" s="5" t="s">
        <v>19</v>
      </c>
      <c r="E3" s="5" t="s">
        <v>11</v>
      </c>
      <c r="F3" s="5" t="s">
        <v>13</v>
      </c>
      <c r="G3" s="5" t="s">
        <v>23</v>
      </c>
      <c r="H3" s="5" t="s">
        <v>21</v>
      </c>
      <c r="I3" s="5" t="s">
        <v>25</v>
      </c>
      <c r="J3" s="5" t="s">
        <v>26</v>
      </c>
    </row>
    <row r="4">
      <c r="A4" s="6" t="str">
        <f>IF('Cobertura de Requisitos'!A4="","",'Cobertura de Requisitos'!A4)</f>
        <v>RF-001</v>
      </c>
      <c r="B4" s="9" t="str">
        <f>IF($A4="","",'Cobertura de Requisitos'!B4)</f>
        <v>Registrar usuario</v>
      </c>
      <c r="C4" s="8" t="str">
        <f>IF($A4="","",IF('Cobertura de Requisitos'!E4&gt;0,"Si","No"))</f>
        <v>Si</v>
      </c>
      <c r="D4" s="8" t="str">
        <f>IF($A4="","",IF('Cobertura de Requisitos'!F4&gt;0,"Si","No"))</f>
        <v>Si</v>
      </c>
      <c r="E4" s="8" t="str">
        <f>IF($A4="","",IF('Cobertura de Requisitos'!G4&gt;0,"Si","No"))</f>
        <v>Si</v>
      </c>
      <c r="F4" s="8" t="str">
        <f>IF($A4="","",IF('Cobertura de Requisitos'!H4&gt;0,"Si","No"))</f>
        <v>No</v>
      </c>
      <c r="G4" s="15" t="s">
        <v>31</v>
      </c>
      <c r="H4" s="12" t="str">
        <f>IF($A4="","",'Cobertura de Requisitos'!J4)</f>
        <v>Parcial</v>
      </c>
      <c r="I4" s="8" t="str">
        <f t="shared" ref="I4:I149" si="1">IF($A4="","",IF(H4="Completo","Si","No"))</f>
        <v>No</v>
      </c>
      <c r="J4" s="16"/>
    </row>
    <row r="5">
      <c r="A5" s="6" t="str">
        <f>IF('Cobertura de Requisitos'!A5="","",'Cobertura de Requisitos'!A5)</f>
        <v>RF-002</v>
      </c>
      <c r="B5" s="9" t="str">
        <f>IF($A5="","",'Cobertura de Requisitos'!B5)</f>
        <v>Verificar correo electrónico</v>
      </c>
      <c r="C5" s="8" t="str">
        <f>IF($A5="","",IF('Cobertura de Requisitos'!E5&gt;0,"Si","No"))</f>
        <v>Si</v>
      </c>
      <c r="D5" s="8" t="str">
        <f>IF($A5="","",IF('Cobertura de Requisitos'!F5&gt;0,"Si","No"))</f>
        <v>No</v>
      </c>
      <c r="E5" s="8" t="str">
        <f>IF($A5="","",IF('Cobertura de Requisitos'!G5&gt;0,"Si","No"))</f>
        <v>No</v>
      </c>
      <c r="F5" s="8" t="str">
        <f>IF($A5="","",IF('Cobertura de Requisitos'!H5&gt;0,"Si","No"))</f>
        <v>No</v>
      </c>
      <c r="G5" s="15" t="s">
        <v>31</v>
      </c>
      <c r="H5" s="12" t="str">
        <f>IF($A5="","",'Cobertura de Requisitos'!J5)</f>
        <v>Parcial</v>
      </c>
      <c r="I5" s="8" t="str">
        <f t="shared" si="1"/>
        <v>No</v>
      </c>
      <c r="J5" s="16"/>
    </row>
    <row r="6">
      <c r="A6" s="6" t="str">
        <f>IF('Cobertura de Requisitos'!A6="","",'Cobertura de Requisitos'!A6)</f>
        <v>RF-003</v>
      </c>
      <c r="B6" s="9" t="str">
        <f>IF($A6="","",'Cobertura de Requisitos'!B6)</f>
        <v>Reenviar código de verificación</v>
      </c>
      <c r="C6" s="8" t="str">
        <f>IF($A6="","",IF('Cobertura de Requisitos'!E6&gt;0,"Si","No"))</f>
        <v>Si</v>
      </c>
      <c r="D6" s="8" t="str">
        <f>IF($A6="","",IF('Cobertura de Requisitos'!F6&gt;0,"Si","No"))</f>
        <v>No</v>
      </c>
      <c r="E6" s="8" t="str">
        <f>IF($A6="","",IF('Cobertura de Requisitos'!G6&gt;0,"Si","No"))</f>
        <v>No</v>
      </c>
      <c r="F6" s="8" t="str">
        <f>IF($A6="","",IF('Cobertura de Requisitos'!H6&gt;0,"Si","No"))</f>
        <v>No</v>
      </c>
      <c r="G6" s="15" t="s">
        <v>31</v>
      </c>
      <c r="H6" s="12" t="str">
        <f>IF($A6="","",'Cobertura de Requisitos'!J6)</f>
        <v>Parcial</v>
      </c>
      <c r="I6" s="8" t="str">
        <f t="shared" si="1"/>
        <v>No</v>
      </c>
      <c r="J6" s="16"/>
    </row>
    <row r="7">
      <c r="A7" s="6" t="str">
        <f>IF('Cobertura de Requisitos'!A7="","",'Cobertura de Requisitos'!A7)</f>
        <v>RF-004</v>
      </c>
      <c r="B7" s="9" t="str">
        <f>IF($A7="","",'Cobertura de Requisitos'!B7)</f>
        <v>Inicar sesión</v>
      </c>
      <c r="C7" s="8" t="str">
        <f>IF($A7="","",IF('Cobertura de Requisitos'!E7&gt;0,"Si","No"))</f>
        <v>Si</v>
      </c>
      <c r="D7" s="8" t="str">
        <f>IF($A7="","",IF('Cobertura de Requisitos'!F7&gt;0,"Si","No"))</f>
        <v>No</v>
      </c>
      <c r="E7" s="8" t="str">
        <f>IF($A7="","",IF('Cobertura de Requisitos'!G7&gt;0,"Si","No"))</f>
        <v>No</v>
      </c>
      <c r="F7" s="8" t="str">
        <f>IF($A7="","",IF('Cobertura de Requisitos'!H7&gt;0,"Si","No"))</f>
        <v>No</v>
      </c>
      <c r="G7" s="15" t="s">
        <v>52</v>
      </c>
      <c r="H7" s="12" t="str">
        <f>IF($A7="","",'Cobertura de Requisitos'!J7)</f>
        <v>Parcial</v>
      </c>
      <c r="I7" s="8" t="str">
        <f t="shared" si="1"/>
        <v>No</v>
      </c>
      <c r="J7" s="16"/>
    </row>
    <row r="8">
      <c r="A8" s="6" t="str">
        <f>IF('Cobertura de Requisitos'!A8="","",'Cobertura de Requisitos'!A8)</f>
        <v>RF-005</v>
      </c>
      <c r="B8" s="9" t="str">
        <f>IF($A8="","",'Cobertura de Requisitos'!B8)</f>
        <v>Doble factor</v>
      </c>
      <c r="C8" s="8" t="str">
        <f>IF($A8="","",IF('Cobertura de Requisitos'!E8&gt;0,"Si","No"))</f>
        <v>Si</v>
      </c>
      <c r="D8" s="8" t="str">
        <f>IF($A8="","",IF('Cobertura de Requisitos'!F8&gt;0,"Si","No"))</f>
        <v>No</v>
      </c>
      <c r="E8" s="8" t="str">
        <f>IF($A8="","",IF('Cobertura de Requisitos'!G8&gt;0,"Si","No"))</f>
        <v>No</v>
      </c>
      <c r="F8" s="8" t="str">
        <f>IF($A8="","",IF('Cobertura de Requisitos'!H8&gt;0,"Si","No"))</f>
        <v>No</v>
      </c>
      <c r="G8" s="15" t="s">
        <v>31</v>
      </c>
      <c r="H8" s="12" t="str">
        <f>IF($A8="","",'Cobertura de Requisitos'!J8)</f>
        <v>Parcial</v>
      </c>
      <c r="I8" s="8" t="str">
        <f t="shared" si="1"/>
        <v>No</v>
      </c>
      <c r="J8" s="16"/>
    </row>
    <row r="9">
      <c r="A9" s="6" t="str">
        <f>IF('Cobertura de Requisitos'!A9="","",'Cobertura de Requisitos'!A9)</f>
        <v>RF-006</v>
      </c>
      <c r="B9" s="9" t="str">
        <f>IF($A9="","",'Cobertura de Requisitos'!B9)</f>
        <v>Verificar código de doble factor(2FA)</v>
      </c>
      <c r="C9" s="8" t="str">
        <f>IF($A9="","",IF('Cobertura de Requisitos'!E9&gt;0,"Si","No"))</f>
        <v>Si</v>
      </c>
      <c r="D9" s="8" t="str">
        <f>IF($A9="","",IF('Cobertura de Requisitos'!F9&gt;0,"Si","No"))</f>
        <v>No</v>
      </c>
      <c r="E9" s="8" t="str">
        <f>IF($A9="","",IF('Cobertura de Requisitos'!G9&gt;0,"Si","No"))</f>
        <v>No</v>
      </c>
      <c r="F9" s="8" t="str">
        <f>IF($A9="","",IF('Cobertura de Requisitos'!H9&gt;0,"Si","No"))</f>
        <v>No</v>
      </c>
      <c r="G9" s="15" t="s">
        <v>31</v>
      </c>
      <c r="H9" s="12" t="str">
        <f>IF($A9="","",'Cobertura de Requisitos'!J9)</f>
        <v>Parcial</v>
      </c>
      <c r="I9" s="8" t="str">
        <f t="shared" si="1"/>
        <v>No</v>
      </c>
      <c r="J9" s="16"/>
    </row>
    <row r="10">
      <c r="A10" s="6" t="str">
        <f>IF('Cobertura de Requisitos'!A10="","",'Cobertura de Requisitos'!A10)</f>
        <v>RF-007</v>
      </c>
      <c r="B10" s="9" t="str">
        <f>IF($A10="","",'Cobertura de Requisitos'!B10)</f>
        <v>Solicitar recuperación de contraseña</v>
      </c>
      <c r="C10" s="8" t="str">
        <f>IF($A10="","",IF('Cobertura de Requisitos'!E10&gt;0,"Si","No"))</f>
        <v>Si</v>
      </c>
      <c r="D10" s="8" t="str">
        <f>IF($A10="","",IF('Cobertura de Requisitos'!F10&gt;0,"Si","No"))</f>
        <v>No</v>
      </c>
      <c r="E10" s="8" t="str">
        <f>IF($A10="","",IF('Cobertura de Requisitos'!G10&gt;0,"Si","No"))</f>
        <v>No</v>
      </c>
      <c r="F10" s="8" t="str">
        <f>IF($A10="","",IF('Cobertura de Requisitos'!H10&gt;0,"Si","No"))</f>
        <v>No</v>
      </c>
      <c r="G10" s="15" t="s">
        <v>31</v>
      </c>
      <c r="H10" s="12" t="str">
        <f>IF($A10="","",'Cobertura de Requisitos'!J10)</f>
        <v>Parcial</v>
      </c>
      <c r="I10" s="8" t="str">
        <f t="shared" si="1"/>
        <v>No</v>
      </c>
      <c r="J10" s="16"/>
    </row>
    <row r="11">
      <c r="A11" s="6" t="str">
        <f>IF('Cobertura de Requisitos'!A11="","",'Cobertura de Requisitos'!A11)</f>
        <v>RF-008</v>
      </c>
      <c r="B11" s="9" t="str">
        <f>IF($A11="","",'Cobertura de Requisitos'!B11)</f>
        <v>Restablecer contraseña</v>
      </c>
      <c r="C11" s="8" t="str">
        <f>IF($A11="","",IF('Cobertura de Requisitos'!E11&gt;0,"Si","No"))</f>
        <v>Si</v>
      </c>
      <c r="D11" s="8" t="str">
        <f>IF($A11="","",IF('Cobertura de Requisitos'!F11&gt;0,"Si","No"))</f>
        <v>No</v>
      </c>
      <c r="E11" s="8" t="str">
        <f>IF($A11="","",IF('Cobertura de Requisitos'!G11&gt;0,"Si","No"))</f>
        <v>No</v>
      </c>
      <c r="F11" s="8" t="str">
        <f>IF($A11="","",IF('Cobertura de Requisitos'!H11&gt;0,"Si","No"))</f>
        <v>No</v>
      </c>
      <c r="G11" s="15" t="s">
        <v>71</v>
      </c>
      <c r="H11" s="12" t="str">
        <f>IF($A11="","",'Cobertura de Requisitos'!J11)</f>
        <v>Parcial</v>
      </c>
      <c r="I11" s="8" t="str">
        <f t="shared" si="1"/>
        <v>No</v>
      </c>
      <c r="J11" s="16"/>
    </row>
    <row r="12">
      <c r="A12" s="6" t="str">
        <f>IF('Cobertura de Requisitos'!A12="","",'Cobertura de Requisitos'!A12)</f>
        <v>RF-009</v>
      </c>
      <c r="B12" s="9" t="str">
        <f>IF($A12="","",'Cobertura de Requisitos'!B12)</f>
        <v>Cerrar sesión</v>
      </c>
      <c r="C12" s="8" t="str">
        <f>IF($A12="","",IF('Cobertura de Requisitos'!E12&gt;0,"Si","No"))</f>
        <v>Si</v>
      </c>
      <c r="D12" s="8" t="str">
        <f>IF($A12="","",IF('Cobertura de Requisitos'!F12&gt;0,"Si","No"))</f>
        <v>No</v>
      </c>
      <c r="E12" s="8" t="str">
        <f>IF($A12="","",IF('Cobertura de Requisitos'!G12&gt;0,"Si","No"))</f>
        <v>No</v>
      </c>
      <c r="F12" s="8" t="str">
        <f>IF($A12="","",IF('Cobertura de Requisitos'!H12&gt;0,"Si","No"))</f>
        <v>No</v>
      </c>
      <c r="G12" s="15" t="s">
        <v>31</v>
      </c>
      <c r="H12" s="12" t="str">
        <f>IF($A12="","",'Cobertura de Requisitos'!J12)</f>
        <v>Parcial</v>
      </c>
      <c r="I12" s="8" t="str">
        <f t="shared" si="1"/>
        <v>No</v>
      </c>
      <c r="J12" s="16"/>
    </row>
    <row r="13">
      <c r="A13" s="6" t="str">
        <f>IF('Cobertura de Requisitos'!A13="","",'Cobertura de Requisitos'!A13)</f>
        <v>RF-010</v>
      </c>
      <c r="B13" s="9" t="str">
        <f>IF($A13="","",'Cobertura de Requisitos'!B13)</f>
        <v>Registrar usuario</v>
      </c>
      <c r="C13" s="8" t="str">
        <f>IF($A13="","",IF('Cobertura de Requisitos'!E13&gt;0,"Si","No"))</f>
        <v>Si</v>
      </c>
      <c r="D13" s="8" t="str">
        <f>IF($A13="","",IF('Cobertura de Requisitos'!F13&gt;0,"Si","No"))</f>
        <v>No</v>
      </c>
      <c r="E13" s="8" t="str">
        <f>IF($A13="","",IF('Cobertura de Requisitos'!G13&gt;0,"Si","No"))</f>
        <v>No</v>
      </c>
      <c r="F13" s="8" t="str">
        <f>IF($A13="","",IF('Cobertura de Requisitos'!H13&gt;0,"Si","No"))</f>
        <v>No</v>
      </c>
      <c r="G13" s="15" t="s">
        <v>31</v>
      </c>
      <c r="H13" s="12" t="str">
        <f>IF($A13="","",'Cobertura de Requisitos'!J13)</f>
        <v>Parcial</v>
      </c>
      <c r="I13" s="8" t="str">
        <f t="shared" si="1"/>
        <v>No</v>
      </c>
      <c r="J13" s="16"/>
    </row>
    <row r="14">
      <c r="A14" s="6" t="str">
        <f>IF('Cobertura de Requisitos'!A14="","",'Cobertura de Requisitos'!A14)</f>
        <v>RF-011</v>
      </c>
      <c r="B14" s="9" t="str">
        <f>IF($A14="","",'Cobertura de Requisitos'!B14)</f>
        <v>Consultar usuario</v>
      </c>
      <c r="C14" s="8" t="str">
        <f>IF($A14="","",IF('Cobertura de Requisitos'!E14&gt;0,"Si","No"))</f>
        <v>Si</v>
      </c>
      <c r="D14" s="8" t="str">
        <f>IF($A14="","",IF('Cobertura de Requisitos'!F14&gt;0,"Si","No"))</f>
        <v>No</v>
      </c>
      <c r="E14" s="8" t="str">
        <f>IF($A14="","",IF('Cobertura de Requisitos'!G14&gt;0,"Si","No"))</f>
        <v>No</v>
      </c>
      <c r="F14" s="8" t="str">
        <f>IF($A14="","",IF('Cobertura de Requisitos'!H14&gt;0,"Si","No"))</f>
        <v>No</v>
      </c>
      <c r="G14" s="15" t="s">
        <v>31</v>
      </c>
      <c r="H14" s="12" t="str">
        <f>IF($A14="","",'Cobertura de Requisitos'!J14)</f>
        <v>Parcial</v>
      </c>
      <c r="I14" s="8" t="str">
        <f t="shared" si="1"/>
        <v>No</v>
      </c>
      <c r="J14" s="16"/>
    </row>
    <row r="15">
      <c r="A15" s="6" t="str">
        <f>IF('Cobertura de Requisitos'!A15="","",'Cobertura de Requisitos'!A15)</f>
        <v>RF-012</v>
      </c>
      <c r="B15" s="9" t="str">
        <f>IF($A15="","",'Cobertura de Requisitos'!B15)</f>
        <v>Actualizar usuario</v>
      </c>
      <c r="C15" s="8" t="str">
        <f>IF($A15="","",IF('Cobertura de Requisitos'!E15&gt;0,"Si","No"))</f>
        <v>Si</v>
      </c>
      <c r="D15" s="8" t="str">
        <f>IF($A15="","",IF('Cobertura de Requisitos'!F15&gt;0,"Si","No"))</f>
        <v>No</v>
      </c>
      <c r="E15" s="8" t="str">
        <f>IF($A15="","",IF('Cobertura de Requisitos'!G15&gt;0,"Si","No"))</f>
        <v>No</v>
      </c>
      <c r="F15" s="8" t="str">
        <f>IF($A15="","",IF('Cobertura de Requisitos'!H15&gt;0,"Si","No"))</f>
        <v>No</v>
      </c>
      <c r="G15" s="15" t="s">
        <v>31</v>
      </c>
      <c r="H15" s="12" t="str">
        <f>IF($A15="","",'Cobertura de Requisitos'!J15)</f>
        <v>Parcial</v>
      </c>
      <c r="I15" s="8" t="str">
        <f t="shared" si="1"/>
        <v>No</v>
      </c>
      <c r="J15" s="16"/>
    </row>
    <row r="16">
      <c r="A16" s="6" t="str">
        <f>IF('Cobertura de Requisitos'!A16="","",'Cobertura de Requisitos'!A16)</f>
        <v>RF-013</v>
      </c>
      <c r="B16" s="9" t="str">
        <f>IF($A16="","",'Cobertura de Requisitos'!B16)</f>
        <v>Eliminar usuario</v>
      </c>
      <c r="C16" s="8" t="str">
        <f>IF($A16="","",IF('Cobertura de Requisitos'!E16&gt;0,"Si","No"))</f>
        <v>Si</v>
      </c>
      <c r="D16" s="8" t="str">
        <f>IF($A16="","",IF('Cobertura de Requisitos'!F16&gt;0,"Si","No"))</f>
        <v>No</v>
      </c>
      <c r="E16" s="8" t="str">
        <f>IF($A16="","",IF('Cobertura de Requisitos'!G16&gt;0,"Si","No"))</f>
        <v>No</v>
      </c>
      <c r="F16" s="8" t="str">
        <f>IF($A16="","",IF('Cobertura de Requisitos'!H16&gt;0,"Si","No"))</f>
        <v>No</v>
      </c>
      <c r="G16" s="15" t="s">
        <v>52</v>
      </c>
      <c r="H16" s="12" t="str">
        <f>IF($A16="","",'Cobertura de Requisitos'!J16)</f>
        <v>Parcial</v>
      </c>
      <c r="I16" s="8" t="str">
        <f t="shared" si="1"/>
        <v>No</v>
      </c>
      <c r="J16" s="16"/>
    </row>
    <row r="17">
      <c r="A17" s="6" t="str">
        <f>IF('Cobertura de Requisitos'!A17="","",'Cobertura de Requisitos'!A17)</f>
        <v>RF-014</v>
      </c>
      <c r="B17" s="9" t="str">
        <f>IF($A17="","",'Cobertura de Requisitos'!B17)</f>
        <v>Consultar Catálogo de Productos</v>
      </c>
      <c r="C17" s="8" t="str">
        <f>IF($A17="","",IF('Cobertura de Requisitos'!E17&gt;0,"Si","No"))</f>
        <v>Si</v>
      </c>
      <c r="D17" s="8" t="str">
        <f>IF($A17="","",IF('Cobertura de Requisitos'!F17&gt;0,"Si","No"))</f>
        <v>No</v>
      </c>
      <c r="E17" s="8" t="str">
        <f>IF($A17="","",IF('Cobertura de Requisitos'!G17&gt;0,"Si","No"))</f>
        <v>No</v>
      </c>
      <c r="F17" s="8" t="str">
        <f>IF($A17="","",IF('Cobertura de Requisitos'!H17&gt;0,"Si","No"))</f>
        <v>No</v>
      </c>
      <c r="G17" s="15" t="s">
        <v>31</v>
      </c>
      <c r="H17" s="12" t="str">
        <f>IF($A17="","",'Cobertura de Requisitos'!J17)</f>
        <v>Parcial</v>
      </c>
      <c r="I17" s="8" t="str">
        <f t="shared" si="1"/>
        <v>No</v>
      </c>
      <c r="J17" s="16"/>
    </row>
    <row r="18">
      <c r="A18" s="6" t="str">
        <f>IF('Cobertura de Requisitos'!A18="","",'Cobertura de Requisitos'!A18)</f>
        <v>RF-015</v>
      </c>
      <c r="B18" s="9" t="str">
        <f>IF($A18="","",'Cobertura de Requisitos'!B18)</f>
        <v>Filtrado y Búsqueda de Productos</v>
      </c>
      <c r="C18" s="8" t="str">
        <f>IF($A18="","",IF('Cobertura de Requisitos'!E18&gt;0,"Si","No"))</f>
        <v>No</v>
      </c>
      <c r="D18" s="8" t="str">
        <f>IF($A18="","",IF('Cobertura de Requisitos'!F18&gt;0,"Si","No"))</f>
        <v>No</v>
      </c>
      <c r="E18" s="8" t="str">
        <f>IF($A18="","",IF('Cobertura de Requisitos'!G18&gt;0,"Si","No"))</f>
        <v>No</v>
      </c>
      <c r="F18" s="8" t="str">
        <f>IF($A18="","",IF('Cobertura de Requisitos'!H18&gt;0,"Si","No"))</f>
        <v>No</v>
      </c>
      <c r="G18" s="15" t="s">
        <v>71</v>
      </c>
      <c r="H18" s="12" t="str">
        <f>IF($A18="","",'Cobertura de Requisitos'!J18)</f>
        <v>Pendiente</v>
      </c>
      <c r="I18" s="8" t="str">
        <f t="shared" si="1"/>
        <v>No</v>
      </c>
      <c r="J18" s="16"/>
    </row>
    <row r="19">
      <c r="A19" s="6" t="str">
        <f>IF('Cobertura de Requisitos'!A19="","",'Cobertura de Requisitos'!A19)</f>
        <v>RF-016</v>
      </c>
      <c r="B19" s="9" t="str">
        <f>IF($A19="","",'Cobertura de Requisitos'!B19)</f>
        <v>Agregar Producto al Carrito.</v>
      </c>
      <c r="C19" s="8" t="str">
        <f>IF($A19="","",IF('Cobertura de Requisitos'!E19&gt;0,"Si","No"))</f>
        <v>Si</v>
      </c>
      <c r="D19" s="8" t="str">
        <f>IF($A19="","",IF('Cobertura de Requisitos'!F19&gt;0,"Si","No"))</f>
        <v>No</v>
      </c>
      <c r="E19" s="8" t="str">
        <f>IF($A19="","",IF('Cobertura de Requisitos'!G19&gt;0,"Si","No"))</f>
        <v>No</v>
      </c>
      <c r="F19" s="8" t="str">
        <f>IF($A19="","",IF('Cobertura de Requisitos'!H19&gt;0,"Si","No"))</f>
        <v>No</v>
      </c>
      <c r="G19" s="15" t="s">
        <v>31</v>
      </c>
      <c r="H19" s="12" t="str">
        <f>IF($A19="","",'Cobertura de Requisitos'!J19)</f>
        <v>Parcial</v>
      </c>
      <c r="I19" s="8" t="str">
        <f t="shared" si="1"/>
        <v>No</v>
      </c>
      <c r="J19" s="16"/>
    </row>
    <row r="20">
      <c r="A20" s="6" t="str">
        <f>IF('Cobertura de Requisitos'!A20="","",'Cobertura de Requisitos'!A20)</f>
        <v>RF-017</v>
      </c>
      <c r="B20" s="9" t="str">
        <f>IF($A20="","",'Cobertura de Requisitos'!B20)</f>
        <v>Visualizar Carrito de Compras</v>
      </c>
      <c r="C20" s="8" t="str">
        <f>IF($A20="","",IF('Cobertura de Requisitos'!E20&gt;0,"Si","No"))</f>
        <v>No</v>
      </c>
      <c r="D20" s="8" t="str">
        <f>IF($A20="","",IF('Cobertura de Requisitos'!F20&gt;0,"Si","No"))</f>
        <v>No</v>
      </c>
      <c r="E20" s="8" t="str">
        <f>IF($A20="","",IF('Cobertura de Requisitos'!G20&gt;0,"Si","No"))</f>
        <v>No</v>
      </c>
      <c r="F20" s="8" t="str">
        <f>IF($A20="","",IF('Cobertura de Requisitos'!H20&gt;0,"Si","No"))</f>
        <v>No</v>
      </c>
      <c r="G20" s="8"/>
      <c r="H20" s="12" t="str">
        <f>IF($A20="","",'Cobertura de Requisitos'!J20)</f>
        <v>Pendiente</v>
      </c>
      <c r="I20" s="8" t="str">
        <f t="shared" si="1"/>
        <v>No</v>
      </c>
      <c r="J20" s="16"/>
    </row>
    <row r="21" ht="15.75" customHeight="1">
      <c r="A21" s="6" t="str">
        <f>IF('Cobertura de Requisitos'!A21="","",'Cobertura de Requisitos'!A21)</f>
        <v>RF-018</v>
      </c>
      <c r="B21" s="9" t="str">
        <f>IF($A21="","",'Cobertura de Requisitos'!B21)</f>
        <v>Modificar Cantidades en Carrito</v>
      </c>
      <c r="C21" s="8" t="str">
        <f>IF($A21="","",IF('Cobertura de Requisitos'!E21&gt;0,"Si","No"))</f>
        <v>No</v>
      </c>
      <c r="D21" s="8" t="str">
        <f>IF($A21="","",IF('Cobertura de Requisitos'!F21&gt;0,"Si","No"))</f>
        <v>No</v>
      </c>
      <c r="E21" s="8" t="str">
        <f>IF($A21="","",IF('Cobertura de Requisitos'!G21&gt;0,"Si","No"))</f>
        <v>No</v>
      </c>
      <c r="F21" s="8" t="str">
        <f>IF($A21="","",IF('Cobertura de Requisitos'!H21&gt;0,"Si","No"))</f>
        <v>No</v>
      </c>
      <c r="G21" s="8"/>
      <c r="H21" s="12" t="str">
        <f>IF($A21="","",'Cobertura de Requisitos'!J21)</f>
        <v>Pendiente</v>
      </c>
      <c r="I21" s="8" t="str">
        <f t="shared" si="1"/>
        <v>No</v>
      </c>
      <c r="J21" s="16"/>
    </row>
    <row r="22" ht="15.75" customHeight="1">
      <c r="A22" s="6" t="str">
        <f>IF('Cobertura de Requisitos'!A22="","",'Cobertura de Requisitos'!A22)</f>
        <v>RF-019</v>
      </c>
      <c r="B22" s="9" t="str">
        <f>IF($A22="","",'Cobertura de Requisitos'!B22)</f>
        <v>Seleccionar Método de Pago</v>
      </c>
      <c r="C22" s="8" t="str">
        <f>IF($A22="","",IF('Cobertura de Requisitos'!E22&gt;0,"Si","No"))</f>
        <v>No</v>
      </c>
      <c r="D22" s="8" t="str">
        <f>IF($A22="","",IF('Cobertura de Requisitos'!F22&gt;0,"Si","No"))</f>
        <v>No</v>
      </c>
      <c r="E22" s="8" t="str">
        <f>IF($A22="","",IF('Cobertura de Requisitos'!G22&gt;0,"Si","No"))</f>
        <v>No</v>
      </c>
      <c r="F22" s="8" t="str">
        <f>IF($A22="","",IF('Cobertura de Requisitos'!H22&gt;0,"Si","No"))</f>
        <v>No</v>
      </c>
      <c r="G22" s="8"/>
      <c r="H22" s="12" t="str">
        <f>IF($A22="","",'Cobertura de Requisitos'!J22)</f>
        <v>Pendiente</v>
      </c>
      <c r="I22" s="8" t="str">
        <f t="shared" si="1"/>
        <v>No</v>
      </c>
      <c r="J22" s="16"/>
    </row>
    <row r="23" ht="15.75" customHeight="1">
      <c r="A23" s="6" t="str">
        <f>IF('Cobertura de Requisitos'!A23="","",'Cobertura de Requisitos'!A23)</f>
        <v>RF-020</v>
      </c>
      <c r="B23" s="9" t="str">
        <f>IF($A23="","",'Cobertura de Requisitos'!B23)</f>
        <v>Confirmar Compra</v>
      </c>
      <c r="C23" s="8" t="str">
        <f>IF($A23="","",IF('Cobertura de Requisitos'!E23&gt;0,"Si","No"))</f>
        <v>No</v>
      </c>
      <c r="D23" s="8" t="str">
        <f>IF($A23="","",IF('Cobertura de Requisitos'!F23&gt;0,"Si","No"))</f>
        <v>No</v>
      </c>
      <c r="E23" s="8" t="str">
        <f>IF($A23="","",IF('Cobertura de Requisitos'!G23&gt;0,"Si","No"))</f>
        <v>No</v>
      </c>
      <c r="F23" s="8" t="str">
        <f>IF($A23="","",IF('Cobertura de Requisitos'!H23&gt;0,"Si","No"))</f>
        <v>No</v>
      </c>
      <c r="G23" s="8"/>
      <c r="H23" s="12" t="str">
        <f>IF($A23="","",'Cobertura de Requisitos'!J23)</f>
        <v>Pendiente</v>
      </c>
      <c r="I23" s="8" t="str">
        <f t="shared" si="1"/>
        <v>No</v>
      </c>
      <c r="J23" s="16"/>
    </row>
    <row r="24" ht="15.75" customHeight="1">
      <c r="A24" s="6" t="str">
        <f>IF('Cobertura de Requisitos'!A24="","",'Cobertura de Requisitos'!A24)</f>
        <v>RF-021</v>
      </c>
      <c r="B24" s="9" t="str">
        <f>IF($A24="","",'Cobertura de Requisitos'!B24)</f>
        <v> Comprobante de Venta</v>
      </c>
      <c r="C24" s="8" t="str">
        <f>IF($A24="","",IF('Cobertura de Requisitos'!E24&gt;0,"Si","No"))</f>
        <v>No</v>
      </c>
      <c r="D24" s="8" t="str">
        <f>IF($A24="","",IF('Cobertura de Requisitos'!F24&gt;0,"Si","No"))</f>
        <v>No</v>
      </c>
      <c r="E24" s="8" t="str">
        <f>IF($A24="","",IF('Cobertura de Requisitos'!G24&gt;0,"Si","No"))</f>
        <v>No</v>
      </c>
      <c r="F24" s="8" t="str">
        <f>IF($A24="","",IF('Cobertura de Requisitos'!H24&gt;0,"Si","No"))</f>
        <v>No</v>
      </c>
      <c r="G24" s="8"/>
      <c r="H24" s="12" t="str">
        <f>IF($A24="","",'Cobertura de Requisitos'!J24)</f>
        <v>Pendiente</v>
      </c>
      <c r="I24" s="8" t="str">
        <f t="shared" si="1"/>
        <v>No</v>
      </c>
      <c r="J24" s="16"/>
    </row>
    <row r="25" ht="15.75" customHeight="1">
      <c r="A25" s="6" t="str">
        <f>IF('Cobertura de Requisitos'!A25="","",'Cobertura de Requisitos'!A25)</f>
        <v>RF-022</v>
      </c>
      <c r="B25" s="9" t="str">
        <f>IF($A25="","",'Cobertura de Requisitos'!B25)</f>
        <v>Registrar Producto</v>
      </c>
      <c r="C25" s="8" t="str">
        <f>IF($A25="","",IF('Cobertura de Requisitos'!E25&gt;0,"Si","No"))</f>
        <v>No</v>
      </c>
      <c r="D25" s="8" t="str">
        <f>IF($A25="","",IF('Cobertura de Requisitos'!F25&gt;0,"Si","No"))</f>
        <v>No</v>
      </c>
      <c r="E25" s="8" t="str">
        <f>IF($A25="","",IF('Cobertura de Requisitos'!G25&gt;0,"Si","No"))</f>
        <v>No</v>
      </c>
      <c r="F25" s="8" t="str">
        <f>IF($A25="","",IF('Cobertura de Requisitos'!H25&gt;0,"Si","No"))</f>
        <v>No</v>
      </c>
      <c r="G25" s="8"/>
      <c r="H25" s="12" t="str">
        <f>IF($A25="","",'Cobertura de Requisitos'!J25)</f>
        <v>Pendiente</v>
      </c>
      <c r="I25" s="8" t="str">
        <f t="shared" si="1"/>
        <v>No</v>
      </c>
      <c r="J25" s="16"/>
    </row>
    <row r="26" ht="15.75" customHeight="1">
      <c r="A26" s="6" t="str">
        <f>IF('Cobertura de Requisitos'!A26="","",'Cobertura de Requisitos'!A26)</f>
        <v>RF-023</v>
      </c>
      <c r="B26" s="9" t="str">
        <f>IF($A26="","",'Cobertura de Requisitos'!B26)</f>
        <v>Listar / consultar productos</v>
      </c>
      <c r="C26" s="8" t="str">
        <f>IF($A26="","",IF('Cobertura de Requisitos'!E26&gt;0,"Si","No"))</f>
        <v>No</v>
      </c>
      <c r="D26" s="8" t="str">
        <f>IF($A26="","",IF('Cobertura de Requisitos'!F26&gt;0,"Si","No"))</f>
        <v>No</v>
      </c>
      <c r="E26" s="8" t="str">
        <f>IF($A26="","",IF('Cobertura de Requisitos'!G26&gt;0,"Si","No"))</f>
        <v>No</v>
      </c>
      <c r="F26" s="8" t="str">
        <f>IF($A26="","",IF('Cobertura de Requisitos'!H26&gt;0,"Si","No"))</f>
        <v>No</v>
      </c>
      <c r="G26" s="8"/>
      <c r="H26" s="12" t="str">
        <f>IF($A26="","",'Cobertura de Requisitos'!J26)</f>
        <v>Pendiente</v>
      </c>
      <c r="I26" s="8" t="str">
        <f t="shared" si="1"/>
        <v>No</v>
      </c>
      <c r="J26" s="16"/>
    </row>
    <row r="27" ht="15.75" customHeight="1">
      <c r="A27" s="6" t="str">
        <f>IF('Cobertura de Requisitos'!A27="","",'Cobertura de Requisitos'!A27)</f>
        <v>RF-024</v>
      </c>
      <c r="B27" s="9" t="str">
        <f>IF($A27="","",'Cobertura de Requisitos'!B27)</f>
        <v>Actualizar producto</v>
      </c>
      <c r="C27" s="8" t="str">
        <f>IF($A27="","",IF('Cobertura de Requisitos'!E27&gt;0,"Si","No"))</f>
        <v>No</v>
      </c>
      <c r="D27" s="8" t="str">
        <f>IF($A27="","",IF('Cobertura de Requisitos'!F27&gt;0,"Si","No"))</f>
        <v>No</v>
      </c>
      <c r="E27" s="8" t="str">
        <f>IF($A27="","",IF('Cobertura de Requisitos'!G27&gt;0,"Si","No"))</f>
        <v>No</v>
      </c>
      <c r="F27" s="8" t="str">
        <f>IF($A27="","",IF('Cobertura de Requisitos'!H27&gt;0,"Si","No"))</f>
        <v>No</v>
      </c>
      <c r="G27" s="8"/>
      <c r="H27" s="12" t="str">
        <f>IF($A27="","",'Cobertura de Requisitos'!J27)</f>
        <v>Pendiente</v>
      </c>
      <c r="I27" s="8" t="str">
        <f t="shared" si="1"/>
        <v>No</v>
      </c>
      <c r="J27" s="16"/>
    </row>
    <row r="28" ht="15.75" customHeight="1">
      <c r="A28" s="6" t="str">
        <f>IF('Cobertura de Requisitos'!A28="","",'Cobertura de Requisitos'!A28)</f>
        <v>RF-025</v>
      </c>
      <c r="B28" s="9" t="str">
        <f>IF($A28="","",'Cobertura de Requisitos'!B28)</f>
        <v>Deshabilitar  producto</v>
      </c>
      <c r="C28" s="8" t="str">
        <f>IF($A28="","",IF('Cobertura de Requisitos'!E28&gt;0,"Si","No"))</f>
        <v>No</v>
      </c>
      <c r="D28" s="8" t="str">
        <f>IF($A28="","",IF('Cobertura de Requisitos'!F28&gt;0,"Si","No"))</f>
        <v>No</v>
      </c>
      <c r="E28" s="8" t="str">
        <f>IF($A28="","",IF('Cobertura de Requisitos'!G28&gt;0,"Si","No"))</f>
        <v>No</v>
      </c>
      <c r="F28" s="8" t="str">
        <f>IF($A28="","",IF('Cobertura de Requisitos'!H28&gt;0,"Si","No"))</f>
        <v>No</v>
      </c>
      <c r="G28" s="8"/>
      <c r="H28" s="12" t="str">
        <f>IF($A28="","",'Cobertura de Requisitos'!J28)</f>
        <v>Pendiente</v>
      </c>
      <c r="I28" s="8" t="str">
        <f t="shared" si="1"/>
        <v>No</v>
      </c>
      <c r="J28" s="16"/>
    </row>
    <row r="29" ht="15.75" customHeight="1">
      <c r="A29" s="6" t="str">
        <f>IF('Cobertura de Requisitos'!A29="","",'Cobertura de Requisitos'!A29)</f>
        <v>RF-026</v>
      </c>
      <c r="B29" s="9" t="str">
        <f>IF($A29="","",'Cobertura de Requisitos'!B29)</f>
        <v>Reporte de ventas por mes </v>
      </c>
      <c r="C29" s="8" t="str">
        <f>IF($A29="","",IF('Cobertura de Requisitos'!E29&gt;0,"Si","No"))</f>
        <v>No</v>
      </c>
      <c r="D29" s="8" t="str">
        <f>IF($A29="","",IF('Cobertura de Requisitos'!F29&gt;0,"Si","No"))</f>
        <v>No</v>
      </c>
      <c r="E29" s="8" t="str">
        <f>IF($A29="","",IF('Cobertura de Requisitos'!G29&gt;0,"Si","No"))</f>
        <v>No</v>
      </c>
      <c r="F29" s="8" t="str">
        <f>IF($A29="","",IF('Cobertura de Requisitos'!H29&gt;0,"Si","No"))</f>
        <v>No</v>
      </c>
      <c r="G29" s="8"/>
      <c r="H29" s="12" t="str">
        <f>IF($A29="","",'Cobertura de Requisitos'!J29)</f>
        <v>Pendiente</v>
      </c>
      <c r="I29" s="8" t="str">
        <f t="shared" si="1"/>
        <v>No</v>
      </c>
      <c r="J29" s="16"/>
    </row>
    <row r="30" ht="15.75" customHeight="1">
      <c r="A30" s="6" t="str">
        <f>IF('Cobertura de Requisitos'!A30="","",'Cobertura de Requisitos'!A30)</f>
        <v>RF-027</v>
      </c>
      <c r="B30" s="9" t="str">
        <f>IF($A30="","",'Cobertura de Requisitos'!B30)</f>
        <v>Top productos </v>
      </c>
      <c r="C30" s="8" t="str">
        <f>IF($A30="","",IF('Cobertura de Requisitos'!E30&gt;0,"Si","No"))</f>
        <v>No</v>
      </c>
      <c r="D30" s="8" t="str">
        <f>IF($A30="","",IF('Cobertura de Requisitos'!F30&gt;0,"Si","No"))</f>
        <v>No</v>
      </c>
      <c r="E30" s="8" t="str">
        <f>IF($A30="","",IF('Cobertura de Requisitos'!G30&gt;0,"Si","No"))</f>
        <v>No</v>
      </c>
      <c r="F30" s="8" t="str">
        <f>IF($A30="","",IF('Cobertura de Requisitos'!H30&gt;0,"Si","No"))</f>
        <v>No</v>
      </c>
      <c r="G30" s="8"/>
      <c r="H30" s="12" t="str">
        <f>IF($A30="","",'Cobertura de Requisitos'!J30)</f>
        <v>Pendiente</v>
      </c>
      <c r="I30" s="8" t="str">
        <f t="shared" si="1"/>
        <v>No</v>
      </c>
      <c r="J30" s="16"/>
    </row>
    <row r="31" ht="15.75" customHeight="1">
      <c r="A31" s="6" t="str">
        <f>IF('Cobertura de Requisitos'!A31="","",'Cobertura de Requisitos'!A31)</f>
        <v>RF-028</v>
      </c>
      <c r="B31" s="9" t="str">
        <f>IF($A31="","",'Cobertura de Requisitos'!B31)</f>
        <v>Resumen general </v>
      </c>
      <c r="C31" s="8" t="str">
        <f>IF($A31="","",IF('Cobertura de Requisitos'!E31&gt;0,"Si","No"))</f>
        <v>No</v>
      </c>
      <c r="D31" s="8" t="str">
        <f>IF($A31="","",IF('Cobertura de Requisitos'!F31&gt;0,"Si","No"))</f>
        <v>No</v>
      </c>
      <c r="E31" s="8" t="str">
        <f>IF($A31="","",IF('Cobertura de Requisitos'!G31&gt;0,"Si","No"))</f>
        <v>No</v>
      </c>
      <c r="F31" s="8" t="str">
        <f>IF($A31="","",IF('Cobertura de Requisitos'!H31&gt;0,"Si","No"))</f>
        <v>No</v>
      </c>
      <c r="G31" s="8"/>
      <c r="H31" s="12" t="str">
        <f>IF($A31="","",'Cobertura de Requisitos'!J31)</f>
        <v>Pendiente</v>
      </c>
      <c r="I31" s="8" t="str">
        <f t="shared" si="1"/>
        <v>No</v>
      </c>
      <c r="J31" s="16"/>
    </row>
    <row r="32" ht="15.75" customHeight="1">
      <c r="A32" s="6" t="str">
        <f>IF('Cobertura de Requisitos'!A32="","",'Cobertura de Requisitos'!A32)</f>
        <v>RF-029</v>
      </c>
      <c r="B32" s="9" t="str">
        <f>IF($A32="","",'Cobertura de Requisitos'!B32)</f>
        <v>Exportar PDF</v>
      </c>
      <c r="C32" s="8" t="str">
        <f>IF($A32="","",IF('Cobertura de Requisitos'!E32&gt;0,"Si","No"))</f>
        <v>No</v>
      </c>
      <c r="D32" s="8" t="str">
        <f>IF($A32="","",IF('Cobertura de Requisitos'!F32&gt;0,"Si","No"))</f>
        <v>No</v>
      </c>
      <c r="E32" s="8" t="str">
        <f>IF($A32="","",IF('Cobertura de Requisitos'!G32&gt;0,"Si","No"))</f>
        <v>No</v>
      </c>
      <c r="F32" s="8" t="str">
        <f>IF($A32="","",IF('Cobertura de Requisitos'!H32&gt;0,"Si","No"))</f>
        <v>No</v>
      </c>
      <c r="G32" s="8"/>
      <c r="H32" s="12" t="str">
        <f>IF($A32="","",'Cobertura de Requisitos'!J32)</f>
        <v>Pendiente</v>
      </c>
      <c r="I32" s="8" t="str">
        <f t="shared" si="1"/>
        <v>No</v>
      </c>
      <c r="J32" s="16"/>
    </row>
    <row r="33" ht="15.75" customHeight="1">
      <c r="A33" s="6" t="str">
        <f>IF('Cobertura de Requisitos'!A33="","",'Cobertura de Requisitos'!A33)</f>
        <v>RF-030</v>
      </c>
      <c r="B33" s="9" t="str">
        <f>IF($A33="","",'Cobertura de Requisitos'!B33)</f>
        <v>Registro movimeintos</v>
      </c>
      <c r="C33" s="8" t="str">
        <f>IF($A33="","",IF('Cobertura de Requisitos'!E33&gt;0,"Si","No"))</f>
        <v>No</v>
      </c>
      <c r="D33" s="8" t="str">
        <f>IF($A33="","",IF('Cobertura de Requisitos'!F33&gt;0,"Si","No"))</f>
        <v>No</v>
      </c>
      <c r="E33" s="8" t="str">
        <f>IF($A33="","",IF('Cobertura de Requisitos'!G33&gt;0,"Si","No"))</f>
        <v>No</v>
      </c>
      <c r="F33" s="8" t="str">
        <f>IF($A33="","",IF('Cobertura de Requisitos'!H33&gt;0,"Si","No"))</f>
        <v>No</v>
      </c>
      <c r="G33" s="8"/>
      <c r="H33" s="12" t="str">
        <f>IF($A33="","",'Cobertura de Requisitos'!J33)</f>
        <v>Pendiente</v>
      </c>
      <c r="I33" s="8" t="str">
        <f t="shared" si="1"/>
        <v>No</v>
      </c>
      <c r="J33" s="16"/>
    </row>
    <row r="34" ht="15.75" customHeight="1">
      <c r="A34" s="6" t="str">
        <f>IF('Cobertura de Requisitos'!A34="","",'Cobertura de Requisitos'!A34)</f>
        <v>RF-031</v>
      </c>
      <c r="B34" s="9" t="str">
        <f>IF($A34="","",'Cobertura de Requisitos'!B34)</f>
        <v>Notificación al administrador por bajo stock</v>
      </c>
      <c r="C34" s="8" t="str">
        <f>IF($A34="","",IF('Cobertura de Requisitos'!E34&gt;0,"Si","No"))</f>
        <v>No</v>
      </c>
      <c r="D34" s="8" t="str">
        <f>IF($A34="","",IF('Cobertura de Requisitos'!F34&gt;0,"Si","No"))</f>
        <v>No</v>
      </c>
      <c r="E34" s="8" t="str">
        <f>IF($A34="","",IF('Cobertura de Requisitos'!G34&gt;0,"Si","No"))</f>
        <v>No</v>
      </c>
      <c r="F34" s="8" t="str">
        <f>IF($A34="","",IF('Cobertura de Requisitos'!H34&gt;0,"Si","No"))</f>
        <v>No</v>
      </c>
      <c r="G34" s="8"/>
      <c r="H34" s="12" t="str">
        <f>IF($A34="","",'Cobertura de Requisitos'!J34)</f>
        <v>Pendiente</v>
      </c>
      <c r="I34" s="8" t="str">
        <f t="shared" si="1"/>
        <v>No</v>
      </c>
      <c r="J34" s="16"/>
    </row>
    <row r="35" ht="15.75" customHeight="1">
      <c r="A35" s="6" t="str">
        <f>IF('Cobertura de Requisitos'!A35="","",'Cobertura de Requisitos'!A35)</f>
        <v>RF-032</v>
      </c>
      <c r="B35" s="9" t="str">
        <f>IF($A35="","",'Cobertura de Requisitos'!B35)</f>
        <v>Listar proveedores</v>
      </c>
      <c r="C35" s="8" t="str">
        <f>IF($A35="","",IF('Cobertura de Requisitos'!E35&gt;0,"Si","No"))</f>
        <v>No</v>
      </c>
      <c r="D35" s="8" t="str">
        <f>IF($A35="","",IF('Cobertura de Requisitos'!F35&gt;0,"Si","No"))</f>
        <v>No</v>
      </c>
      <c r="E35" s="8" t="str">
        <f>IF($A35="","",IF('Cobertura de Requisitos'!G35&gt;0,"Si","No"))</f>
        <v>No</v>
      </c>
      <c r="F35" s="8" t="str">
        <f>IF($A35="","",IF('Cobertura de Requisitos'!H35&gt;0,"Si","No"))</f>
        <v>No</v>
      </c>
      <c r="G35" s="8"/>
      <c r="H35" s="12" t="str">
        <f>IF($A35="","",'Cobertura de Requisitos'!J35)</f>
        <v>Pendiente</v>
      </c>
      <c r="I35" s="8" t="str">
        <f t="shared" si="1"/>
        <v>No</v>
      </c>
      <c r="J35" s="16"/>
    </row>
    <row r="36" ht="15.75" customHeight="1">
      <c r="A36" s="6" t="str">
        <f>IF('Cobertura de Requisitos'!A36="","",'Cobertura de Requisitos'!A36)</f>
        <v>RF-033</v>
      </c>
      <c r="B36" s="9" t="str">
        <f>IF($A36="","",'Cobertura de Requisitos'!B36)</f>
        <v>Crear proveedores</v>
      </c>
      <c r="C36" s="8" t="str">
        <f>IF($A36="","",IF('Cobertura de Requisitos'!E36&gt;0,"Si","No"))</f>
        <v>No</v>
      </c>
      <c r="D36" s="8" t="str">
        <f>IF($A36="","",IF('Cobertura de Requisitos'!F36&gt;0,"Si","No"))</f>
        <v>No</v>
      </c>
      <c r="E36" s="8" t="str">
        <f>IF($A36="","",IF('Cobertura de Requisitos'!G36&gt;0,"Si","No"))</f>
        <v>No</v>
      </c>
      <c r="F36" s="8" t="str">
        <f>IF($A36="","",IF('Cobertura de Requisitos'!H36&gt;0,"Si","No"))</f>
        <v>No</v>
      </c>
      <c r="G36" s="8"/>
      <c r="H36" s="12" t="str">
        <f>IF($A36="","",'Cobertura de Requisitos'!J36)</f>
        <v>Pendiente</v>
      </c>
      <c r="I36" s="8" t="str">
        <f t="shared" si="1"/>
        <v>No</v>
      </c>
      <c r="J36" s="16"/>
    </row>
    <row r="37" ht="15.75" customHeight="1">
      <c r="A37" s="6" t="str">
        <f>IF('Cobertura de Requisitos'!A37="","",'Cobertura de Requisitos'!A37)</f>
        <v>RF-034</v>
      </c>
      <c r="B37" s="9" t="str">
        <f>IF($A37="","",'Cobertura de Requisitos'!B37)</f>
        <v>Actualizar proveedores</v>
      </c>
      <c r="C37" s="8" t="str">
        <f>IF($A37="","",IF('Cobertura de Requisitos'!E37&gt;0,"Si","No"))</f>
        <v>No</v>
      </c>
      <c r="D37" s="8" t="str">
        <f>IF($A37="","",IF('Cobertura de Requisitos'!F37&gt;0,"Si","No"))</f>
        <v>No</v>
      </c>
      <c r="E37" s="8" t="str">
        <f>IF($A37="","",IF('Cobertura de Requisitos'!G37&gt;0,"Si","No"))</f>
        <v>No</v>
      </c>
      <c r="F37" s="8" t="str">
        <f>IF($A37="","",IF('Cobertura de Requisitos'!H37&gt;0,"Si","No"))</f>
        <v>No</v>
      </c>
      <c r="G37" s="8"/>
      <c r="H37" s="12" t="str">
        <f>IF($A37="","",'Cobertura de Requisitos'!J37)</f>
        <v>Pendiente</v>
      </c>
      <c r="I37" s="8" t="str">
        <f t="shared" si="1"/>
        <v>No</v>
      </c>
      <c r="J37" s="16"/>
    </row>
    <row r="38" ht="15.75" customHeight="1">
      <c r="A38" s="6" t="str">
        <f>IF('Cobertura de Requisitos'!A38="","",'Cobertura de Requisitos'!A38)</f>
        <v>RF-035</v>
      </c>
      <c r="B38" s="9" t="str">
        <f>IF($A38="","",'Cobertura de Requisitos'!B38)</f>
        <v>Eliminar proveedores</v>
      </c>
      <c r="C38" s="8" t="str">
        <f>IF($A38="","",IF('Cobertura de Requisitos'!E38&gt;0,"Si","No"))</f>
        <v>No</v>
      </c>
      <c r="D38" s="8" t="str">
        <f>IF($A38="","",IF('Cobertura de Requisitos'!F38&gt;0,"Si","No"))</f>
        <v>No</v>
      </c>
      <c r="E38" s="8" t="str">
        <f>IF($A38="","",IF('Cobertura de Requisitos'!G38&gt;0,"Si","No"))</f>
        <v>No</v>
      </c>
      <c r="F38" s="8" t="str">
        <f>IF($A38="","",IF('Cobertura de Requisitos'!H38&gt;0,"Si","No"))</f>
        <v>No</v>
      </c>
      <c r="G38" s="8"/>
      <c r="H38" s="12" t="str">
        <f>IF($A38="","",'Cobertura de Requisitos'!J38)</f>
        <v>Pendiente</v>
      </c>
      <c r="I38" s="8" t="str">
        <f t="shared" si="1"/>
        <v>No</v>
      </c>
      <c r="J38" s="16"/>
    </row>
    <row r="39" ht="15.75" customHeight="1">
      <c r="A39" s="6" t="str">
        <f>IF('Cobertura de Requisitos'!A39="","",'Cobertura de Requisitos'!A39)</f>
        <v/>
      </c>
      <c r="B39" s="9" t="str">
        <f>IF($A39="","",'Cobertura de Requisitos'!B39)</f>
        <v/>
      </c>
      <c r="C39" s="8" t="str">
        <f>IF($A39="","",IF('Cobertura de Requisitos'!E39&gt;0,"Si","No"))</f>
        <v/>
      </c>
      <c r="D39" s="8" t="str">
        <f>IF($A39="","",IF('Cobertura de Requisitos'!F39&gt;0,"Si","No"))</f>
        <v/>
      </c>
      <c r="E39" s="8" t="str">
        <f>IF($A39="","",IF('Cobertura de Requisitos'!G39&gt;0,"Si","No"))</f>
        <v/>
      </c>
      <c r="F39" s="8" t="str">
        <f>IF($A39="","",IF('Cobertura de Requisitos'!H39&gt;0,"Si","No"))</f>
        <v/>
      </c>
      <c r="G39" s="8"/>
      <c r="H39" s="12" t="str">
        <f>IF($A39="","",'Cobertura de Requisitos'!J39)</f>
        <v/>
      </c>
      <c r="I39" s="8" t="str">
        <f t="shared" si="1"/>
        <v/>
      </c>
      <c r="J39" s="16"/>
    </row>
    <row r="40" ht="15.75" customHeight="1">
      <c r="A40" s="6" t="str">
        <f>IF('Cobertura de Requisitos'!A40="","",'Cobertura de Requisitos'!A40)</f>
        <v/>
      </c>
      <c r="B40" s="9" t="str">
        <f>IF($A40="","",'Cobertura de Requisitos'!B40)</f>
        <v/>
      </c>
      <c r="C40" s="8" t="str">
        <f>IF($A40="","",IF('Cobertura de Requisitos'!E40&gt;0,"Si","No"))</f>
        <v/>
      </c>
      <c r="D40" s="8" t="str">
        <f>IF($A40="","",IF('Cobertura de Requisitos'!F40&gt;0,"Si","No"))</f>
        <v/>
      </c>
      <c r="E40" s="8" t="str">
        <f>IF($A40="","",IF('Cobertura de Requisitos'!G40&gt;0,"Si","No"))</f>
        <v/>
      </c>
      <c r="F40" s="8" t="str">
        <f>IF($A40="","",IF('Cobertura de Requisitos'!H40&gt;0,"Si","No"))</f>
        <v/>
      </c>
      <c r="G40" s="8"/>
      <c r="H40" s="12" t="str">
        <f>IF($A40="","",'Cobertura de Requisitos'!J40)</f>
        <v/>
      </c>
      <c r="I40" s="8" t="str">
        <f t="shared" si="1"/>
        <v/>
      </c>
      <c r="J40" s="16"/>
    </row>
    <row r="41" ht="15.75" customHeight="1">
      <c r="A41" s="6" t="str">
        <f>IF('Cobertura de Requisitos'!A41="","",'Cobertura de Requisitos'!A41)</f>
        <v/>
      </c>
      <c r="B41" s="9" t="str">
        <f>IF($A41="","",'Cobertura de Requisitos'!B41)</f>
        <v/>
      </c>
      <c r="C41" s="8" t="str">
        <f>IF($A41="","",IF('Cobertura de Requisitos'!E41&gt;0,"Si","No"))</f>
        <v/>
      </c>
      <c r="D41" s="8" t="str">
        <f>IF($A41="","",IF('Cobertura de Requisitos'!F41&gt;0,"Si","No"))</f>
        <v/>
      </c>
      <c r="E41" s="8" t="str">
        <f>IF($A41="","",IF('Cobertura de Requisitos'!G41&gt;0,"Si","No"))</f>
        <v/>
      </c>
      <c r="F41" s="8" t="str">
        <f>IF($A41="","",IF('Cobertura de Requisitos'!H41&gt;0,"Si","No"))</f>
        <v/>
      </c>
      <c r="G41" s="8"/>
      <c r="H41" s="12" t="str">
        <f>IF($A41="","",'Cobertura de Requisitos'!J41)</f>
        <v/>
      </c>
      <c r="I41" s="8" t="str">
        <f t="shared" si="1"/>
        <v/>
      </c>
      <c r="J41" s="16"/>
    </row>
    <row r="42" ht="15.75" customHeight="1">
      <c r="A42" s="6" t="str">
        <f>IF('Cobertura de Requisitos'!A42="","",'Cobertura de Requisitos'!A42)</f>
        <v/>
      </c>
      <c r="B42" s="9" t="str">
        <f>IF($A42="","",'Cobertura de Requisitos'!B42)</f>
        <v/>
      </c>
      <c r="C42" s="8" t="str">
        <f>IF($A42="","",IF('Cobertura de Requisitos'!E42&gt;0,"Si","No"))</f>
        <v/>
      </c>
      <c r="D42" s="8" t="str">
        <f>IF($A42="","",IF('Cobertura de Requisitos'!F42&gt;0,"Si","No"))</f>
        <v/>
      </c>
      <c r="E42" s="8" t="str">
        <f>IF($A42="","",IF('Cobertura de Requisitos'!G42&gt;0,"Si","No"))</f>
        <v/>
      </c>
      <c r="F42" s="8" t="str">
        <f>IF($A42="","",IF('Cobertura de Requisitos'!H42&gt;0,"Si","No"))</f>
        <v/>
      </c>
      <c r="G42" s="8"/>
      <c r="H42" s="12" t="str">
        <f>IF($A42="","",'Cobertura de Requisitos'!J42)</f>
        <v/>
      </c>
      <c r="I42" s="8" t="str">
        <f t="shared" si="1"/>
        <v/>
      </c>
      <c r="J42" s="16"/>
    </row>
    <row r="43" ht="15.75" customHeight="1">
      <c r="A43" s="6" t="str">
        <f>IF('Cobertura de Requisitos'!A43="","",'Cobertura de Requisitos'!A43)</f>
        <v/>
      </c>
      <c r="B43" s="9" t="str">
        <f>IF($A43="","",'Cobertura de Requisitos'!B43)</f>
        <v/>
      </c>
      <c r="C43" s="8" t="str">
        <f>IF($A43="","",IF('Cobertura de Requisitos'!E43&gt;0,"Si","No"))</f>
        <v/>
      </c>
      <c r="D43" s="8" t="str">
        <f>IF($A43="","",IF('Cobertura de Requisitos'!F43&gt;0,"Si","No"))</f>
        <v/>
      </c>
      <c r="E43" s="8" t="str">
        <f>IF($A43="","",IF('Cobertura de Requisitos'!G43&gt;0,"Si","No"))</f>
        <v/>
      </c>
      <c r="F43" s="8" t="str">
        <f>IF($A43="","",IF('Cobertura de Requisitos'!H43&gt;0,"Si","No"))</f>
        <v/>
      </c>
      <c r="G43" s="8"/>
      <c r="H43" s="12" t="str">
        <f>IF($A43="","",'Cobertura de Requisitos'!J43)</f>
        <v/>
      </c>
      <c r="I43" s="8" t="str">
        <f t="shared" si="1"/>
        <v/>
      </c>
      <c r="J43" s="16"/>
    </row>
    <row r="44" ht="15.75" customHeight="1">
      <c r="A44" s="6" t="str">
        <f>IF('Cobertura de Requisitos'!A44="","",'Cobertura de Requisitos'!A44)</f>
        <v/>
      </c>
      <c r="B44" s="9" t="str">
        <f>IF($A44="","",'Cobertura de Requisitos'!B44)</f>
        <v/>
      </c>
      <c r="C44" s="8" t="str">
        <f>IF($A44="","",IF('Cobertura de Requisitos'!E44&gt;0,"Si","No"))</f>
        <v/>
      </c>
      <c r="D44" s="8" t="str">
        <f>IF($A44="","",IF('Cobertura de Requisitos'!F44&gt;0,"Si","No"))</f>
        <v/>
      </c>
      <c r="E44" s="8" t="str">
        <f>IF($A44="","",IF('Cobertura de Requisitos'!G44&gt;0,"Si","No"))</f>
        <v/>
      </c>
      <c r="F44" s="8" t="str">
        <f>IF($A44="","",IF('Cobertura de Requisitos'!H44&gt;0,"Si","No"))</f>
        <v/>
      </c>
      <c r="G44" s="8"/>
      <c r="H44" s="12" t="str">
        <f>IF($A44="","",'Cobertura de Requisitos'!J44)</f>
        <v/>
      </c>
      <c r="I44" s="8" t="str">
        <f t="shared" si="1"/>
        <v/>
      </c>
      <c r="J44" s="16"/>
    </row>
    <row r="45" ht="15.75" customHeight="1">
      <c r="A45" s="6" t="str">
        <f>IF('Cobertura de Requisitos'!A45="","",'Cobertura de Requisitos'!A45)</f>
        <v/>
      </c>
      <c r="B45" s="9" t="str">
        <f>IF($A45="","",'Cobertura de Requisitos'!B45)</f>
        <v/>
      </c>
      <c r="C45" s="8" t="str">
        <f>IF($A45="","",IF('Cobertura de Requisitos'!E45&gt;0,"Si","No"))</f>
        <v/>
      </c>
      <c r="D45" s="8" t="str">
        <f>IF($A45="","",IF('Cobertura de Requisitos'!F45&gt;0,"Si","No"))</f>
        <v/>
      </c>
      <c r="E45" s="8" t="str">
        <f>IF($A45="","",IF('Cobertura de Requisitos'!G45&gt;0,"Si","No"))</f>
        <v/>
      </c>
      <c r="F45" s="8" t="str">
        <f>IF($A45="","",IF('Cobertura de Requisitos'!H45&gt;0,"Si","No"))</f>
        <v/>
      </c>
      <c r="G45" s="8"/>
      <c r="H45" s="12" t="str">
        <f>IF($A45="","",'Cobertura de Requisitos'!J45)</f>
        <v/>
      </c>
      <c r="I45" s="8" t="str">
        <f t="shared" si="1"/>
        <v/>
      </c>
      <c r="J45" s="16"/>
    </row>
    <row r="46" ht="15.75" customHeight="1">
      <c r="A46" s="6" t="str">
        <f>IF('Cobertura de Requisitos'!A46="","",'Cobertura de Requisitos'!A46)</f>
        <v/>
      </c>
      <c r="B46" s="9" t="str">
        <f>IF($A46="","",'Cobertura de Requisitos'!B46)</f>
        <v/>
      </c>
      <c r="C46" s="8" t="str">
        <f>IF($A46="","",IF('Cobertura de Requisitos'!E46&gt;0,"Si","No"))</f>
        <v/>
      </c>
      <c r="D46" s="8" t="str">
        <f>IF($A46="","",IF('Cobertura de Requisitos'!F46&gt;0,"Si","No"))</f>
        <v/>
      </c>
      <c r="E46" s="8" t="str">
        <f>IF($A46="","",IF('Cobertura de Requisitos'!G46&gt;0,"Si","No"))</f>
        <v/>
      </c>
      <c r="F46" s="8" t="str">
        <f>IF($A46="","",IF('Cobertura de Requisitos'!H46&gt;0,"Si","No"))</f>
        <v/>
      </c>
      <c r="G46" s="8"/>
      <c r="H46" s="12" t="str">
        <f>IF($A46="","",'Cobertura de Requisitos'!J46)</f>
        <v/>
      </c>
      <c r="I46" s="8" t="str">
        <f t="shared" si="1"/>
        <v/>
      </c>
      <c r="J46" s="16"/>
    </row>
    <row r="47" ht="15.75" customHeight="1">
      <c r="A47" s="6" t="str">
        <f>IF('Cobertura de Requisitos'!A47="","",'Cobertura de Requisitos'!A47)</f>
        <v/>
      </c>
      <c r="B47" s="9" t="str">
        <f>IF($A47="","",'Cobertura de Requisitos'!B47)</f>
        <v/>
      </c>
      <c r="C47" s="8" t="str">
        <f>IF($A47="","",IF('Cobertura de Requisitos'!E47&gt;0,"Si","No"))</f>
        <v/>
      </c>
      <c r="D47" s="8" t="str">
        <f>IF($A47="","",IF('Cobertura de Requisitos'!F47&gt;0,"Si","No"))</f>
        <v/>
      </c>
      <c r="E47" s="8" t="str">
        <f>IF($A47="","",IF('Cobertura de Requisitos'!G47&gt;0,"Si","No"))</f>
        <v/>
      </c>
      <c r="F47" s="8" t="str">
        <f>IF($A47="","",IF('Cobertura de Requisitos'!H47&gt;0,"Si","No"))</f>
        <v/>
      </c>
      <c r="G47" s="8"/>
      <c r="H47" s="12" t="str">
        <f>IF($A47="","",'Cobertura de Requisitos'!J47)</f>
        <v/>
      </c>
      <c r="I47" s="8" t="str">
        <f t="shared" si="1"/>
        <v/>
      </c>
      <c r="J47" s="16"/>
    </row>
    <row r="48" ht="15.75" customHeight="1">
      <c r="A48" s="6" t="str">
        <f>IF('Cobertura de Requisitos'!A48="","",'Cobertura de Requisitos'!A48)</f>
        <v/>
      </c>
      <c r="B48" s="9" t="str">
        <f>IF($A48="","",'Cobertura de Requisitos'!B48)</f>
        <v/>
      </c>
      <c r="C48" s="8" t="str">
        <f>IF($A48="","",IF('Cobertura de Requisitos'!E48&gt;0,"Si","No"))</f>
        <v/>
      </c>
      <c r="D48" s="8" t="str">
        <f>IF($A48="","",IF('Cobertura de Requisitos'!F48&gt;0,"Si","No"))</f>
        <v/>
      </c>
      <c r="E48" s="8" t="str">
        <f>IF($A48="","",IF('Cobertura de Requisitos'!G48&gt;0,"Si","No"))</f>
        <v/>
      </c>
      <c r="F48" s="8" t="str">
        <f>IF($A48="","",IF('Cobertura de Requisitos'!H48&gt;0,"Si","No"))</f>
        <v/>
      </c>
      <c r="G48" s="8"/>
      <c r="H48" s="12" t="str">
        <f>IF($A48="","",'Cobertura de Requisitos'!J48)</f>
        <v/>
      </c>
      <c r="I48" s="8" t="str">
        <f t="shared" si="1"/>
        <v/>
      </c>
      <c r="J48" s="16"/>
    </row>
    <row r="49" ht="15.75" customHeight="1">
      <c r="A49" s="6" t="str">
        <f>IF('Cobertura de Requisitos'!A49="","",'Cobertura de Requisitos'!A49)</f>
        <v/>
      </c>
      <c r="B49" s="9" t="str">
        <f>IF($A49="","",'Cobertura de Requisitos'!B49)</f>
        <v/>
      </c>
      <c r="C49" s="8" t="str">
        <f>IF($A49="","",IF('Cobertura de Requisitos'!E49&gt;0,"Si","No"))</f>
        <v/>
      </c>
      <c r="D49" s="8" t="str">
        <f>IF($A49="","",IF('Cobertura de Requisitos'!F49&gt;0,"Si","No"))</f>
        <v/>
      </c>
      <c r="E49" s="8" t="str">
        <f>IF($A49="","",IF('Cobertura de Requisitos'!G49&gt;0,"Si","No"))</f>
        <v/>
      </c>
      <c r="F49" s="8" t="str">
        <f>IF($A49="","",IF('Cobertura de Requisitos'!H49&gt;0,"Si","No"))</f>
        <v/>
      </c>
      <c r="G49" s="8"/>
      <c r="H49" s="12" t="str">
        <f>IF($A49="","",'Cobertura de Requisitos'!J49)</f>
        <v/>
      </c>
      <c r="I49" s="8" t="str">
        <f t="shared" si="1"/>
        <v/>
      </c>
      <c r="J49" s="16"/>
    </row>
    <row r="50" ht="15.75" customHeight="1">
      <c r="A50" s="6" t="str">
        <f>IF('Cobertura de Requisitos'!A50="","",'Cobertura de Requisitos'!A50)</f>
        <v/>
      </c>
      <c r="B50" s="9" t="str">
        <f>IF($A50="","",'Cobertura de Requisitos'!B50)</f>
        <v/>
      </c>
      <c r="C50" s="8" t="str">
        <f>IF($A50="","",IF('Cobertura de Requisitos'!E50&gt;0,"Si","No"))</f>
        <v/>
      </c>
      <c r="D50" s="8" t="str">
        <f>IF($A50="","",IF('Cobertura de Requisitos'!F50&gt;0,"Si","No"))</f>
        <v/>
      </c>
      <c r="E50" s="8" t="str">
        <f>IF($A50="","",IF('Cobertura de Requisitos'!G50&gt;0,"Si","No"))</f>
        <v/>
      </c>
      <c r="F50" s="8" t="str">
        <f>IF($A50="","",IF('Cobertura de Requisitos'!H50&gt;0,"Si","No"))</f>
        <v/>
      </c>
      <c r="G50" s="8"/>
      <c r="H50" s="12" t="str">
        <f>IF($A50="","",'Cobertura de Requisitos'!J50)</f>
        <v/>
      </c>
      <c r="I50" s="8" t="str">
        <f t="shared" si="1"/>
        <v/>
      </c>
      <c r="J50" s="16"/>
    </row>
    <row r="51" ht="15.75" customHeight="1">
      <c r="A51" s="6" t="str">
        <f>IF('Cobertura de Requisitos'!A51="","",'Cobertura de Requisitos'!A51)</f>
        <v/>
      </c>
      <c r="B51" s="9" t="str">
        <f>IF($A51="","",'Cobertura de Requisitos'!B51)</f>
        <v/>
      </c>
      <c r="C51" s="8" t="str">
        <f>IF($A51="","",IF('Cobertura de Requisitos'!E51&gt;0,"Si","No"))</f>
        <v/>
      </c>
      <c r="D51" s="8" t="str">
        <f>IF($A51="","",IF('Cobertura de Requisitos'!F51&gt;0,"Si","No"))</f>
        <v/>
      </c>
      <c r="E51" s="8" t="str">
        <f>IF($A51="","",IF('Cobertura de Requisitos'!G51&gt;0,"Si","No"))</f>
        <v/>
      </c>
      <c r="F51" s="8" t="str">
        <f>IF($A51="","",IF('Cobertura de Requisitos'!H51&gt;0,"Si","No"))</f>
        <v/>
      </c>
      <c r="G51" s="8"/>
      <c r="H51" s="12" t="str">
        <f>IF($A51="","",'Cobertura de Requisitos'!J51)</f>
        <v/>
      </c>
      <c r="I51" s="8" t="str">
        <f t="shared" si="1"/>
        <v/>
      </c>
      <c r="J51" s="16"/>
    </row>
    <row r="52" ht="15.75" customHeight="1">
      <c r="A52" s="6" t="str">
        <f>IF('Cobertura de Requisitos'!A52="","",'Cobertura de Requisitos'!A52)</f>
        <v/>
      </c>
      <c r="B52" s="9" t="str">
        <f>IF($A52="","",'Cobertura de Requisitos'!B52)</f>
        <v/>
      </c>
      <c r="C52" s="8" t="str">
        <f>IF($A52="","",IF('Cobertura de Requisitos'!E52&gt;0,"Si","No"))</f>
        <v/>
      </c>
      <c r="D52" s="8" t="str">
        <f>IF($A52="","",IF('Cobertura de Requisitos'!F52&gt;0,"Si","No"))</f>
        <v/>
      </c>
      <c r="E52" s="8" t="str">
        <f>IF($A52="","",IF('Cobertura de Requisitos'!G52&gt;0,"Si","No"))</f>
        <v/>
      </c>
      <c r="F52" s="8" t="str">
        <f>IF($A52="","",IF('Cobertura de Requisitos'!H52&gt;0,"Si","No"))</f>
        <v/>
      </c>
      <c r="G52" s="8"/>
      <c r="H52" s="12" t="str">
        <f>IF($A52="","",'Cobertura de Requisitos'!J52)</f>
        <v/>
      </c>
      <c r="I52" s="8" t="str">
        <f t="shared" si="1"/>
        <v/>
      </c>
      <c r="J52" s="16"/>
    </row>
    <row r="53" ht="15.75" customHeight="1">
      <c r="A53" s="6" t="str">
        <f>IF('Cobertura de Requisitos'!A53="","",'Cobertura de Requisitos'!A53)</f>
        <v/>
      </c>
      <c r="B53" s="9" t="str">
        <f>IF($A53="","",'Cobertura de Requisitos'!B53)</f>
        <v/>
      </c>
      <c r="C53" s="8" t="str">
        <f>IF($A53="","",IF('Cobertura de Requisitos'!E53&gt;0,"Si","No"))</f>
        <v/>
      </c>
      <c r="D53" s="8" t="str">
        <f>IF($A53="","",IF('Cobertura de Requisitos'!F53&gt;0,"Si","No"))</f>
        <v/>
      </c>
      <c r="E53" s="8" t="str">
        <f>IF($A53="","",IF('Cobertura de Requisitos'!G53&gt;0,"Si","No"))</f>
        <v/>
      </c>
      <c r="F53" s="8" t="str">
        <f>IF($A53="","",IF('Cobertura de Requisitos'!H53&gt;0,"Si","No"))</f>
        <v/>
      </c>
      <c r="G53" s="8"/>
      <c r="H53" s="12" t="str">
        <f>IF($A53="","",'Cobertura de Requisitos'!J53)</f>
        <v/>
      </c>
      <c r="I53" s="8" t="str">
        <f t="shared" si="1"/>
        <v/>
      </c>
      <c r="J53" s="16"/>
    </row>
    <row r="54" ht="15.75" customHeight="1">
      <c r="A54" s="6" t="str">
        <f>IF('Cobertura de Requisitos'!A54="","",'Cobertura de Requisitos'!A54)</f>
        <v/>
      </c>
      <c r="B54" s="9" t="str">
        <f>IF($A54="","",'Cobertura de Requisitos'!B54)</f>
        <v/>
      </c>
      <c r="C54" s="8" t="str">
        <f>IF($A54="","",IF('Cobertura de Requisitos'!E54&gt;0,"Si","No"))</f>
        <v/>
      </c>
      <c r="D54" s="8" t="str">
        <f>IF($A54="","",IF('Cobertura de Requisitos'!F54&gt;0,"Si","No"))</f>
        <v/>
      </c>
      <c r="E54" s="8" t="str">
        <f>IF($A54="","",IF('Cobertura de Requisitos'!G54&gt;0,"Si","No"))</f>
        <v/>
      </c>
      <c r="F54" s="8" t="str">
        <f>IF($A54="","",IF('Cobertura de Requisitos'!H54&gt;0,"Si","No"))</f>
        <v/>
      </c>
      <c r="G54" s="8"/>
      <c r="H54" s="12" t="str">
        <f>IF($A54="","",'Cobertura de Requisitos'!J54)</f>
        <v/>
      </c>
      <c r="I54" s="8" t="str">
        <f t="shared" si="1"/>
        <v/>
      </c>
      <c r="J54" s="16"/>
    </row>
    <row r="55" ht="15.75" customHeight="1">
      <c r="A55" s="6" t="str">
        <f>IF('Cobertura de Requisitos'!A55="","",'Cobertura de Requisitos'!A55)</f>
        <v/>
      </c>
      <c r="B55" s="9" t="str">
        <f>IF($A55="","",'Cobertura de Requisitos'!B55)</f>
        <v/>
      </c>
      <c r="C55" s="8" t="str">
        <f>IF($A55="","",IF('Cobertura de Requisitos'!E55&gt;0,"Si","No"))</f>
        <v/>
      </c>
      <c r="D55" s="8" t="str">
        <f>IF($A55="","",IF('Cobertura de Requisitos'!F55&gt;0,"Si","No"))</f>
        <v/>
      </c>
      <c r="E55" s="8" t="str">
        <f>IF($A55="","",IF('Cobertura de Requisitos'!G55&gt;0,"Si","No"))</f>
        <v/>
      </c>
      <c r="F55" s="8" t="str">
        <f>IF($A55="","",IF('Cobertura de Requisitos'!H55&gt;0,"Si","No"))</f>
        <v/>
      </c>
      <c r="G55" s="8"/>
      <c r="H55" s="12" t="str">
        <f>IF($A55="","",'Cobertura de Requisitos'!J55)</f>
        <v/>
      </c>
      <c r="I55" s="8" t="str">
        <f t="shared" si="1"/>
        <v/>
      </c>
      <c r="J55" s="16"/>
    </row>
    <row r="56" ht="15.75" customHeight="1">
      <c r="A56" s="6" t="str">
        <f>IF('Cobertura de Requisitos'!A56="","",'Cobertura de Requisitos'!A56)</f>
        <v/>
      </c>
      <c r="B56" s="9" t="str">
        <f>IF($A56="","",'Cobertura de Requisitos'!B56)</f>
        <v/>
      </c>
      <c r="C56" s="8" t="str">
        <f>IF($A56="","",IF('Cobertura de Requisitos'!E56&gt;0,"Si","No"))</f>
        <v/>
      </c>
      <c r="D56" s="8" t="str">
        <f>IF($A56="","",IF('Cobertura de Requisitos'!F56&gt;0,"Si","No"))</f>
        <v/>
      </c>
      <c r="E56" s="8" t="str">
        <f>IF($A56="","",IF('Cobertura de Requisitos'!G56&gt;0,"Si","No"))</f>
        <v/>
      </c>
      <c r="F56" s="8" t="str">
        <f>IF($A56="","",IF('Cobertura de Requisitos'!H56&gt;0,"Si","No"))</f>
        <v/>
      </c>
      <c r="G56" s="8"/>
      <c r="H56" s="12" t="str">
        <f>IF($A56="","",'Cobertura de Requisitos'!J56)</f>
        <v/>
      </c>
      <c r="I56" s="8" t="str">
        <f t="shared" si="1"/>
        <v/>
      </c>
      <c r="J56" s="16"/>
    </row>
    <row r="57" ht="15.75" customHeight="1">
      <c r="A57" s="6" t="str">
        <f>IF('Cobertura de Requisitos'!A57="","",'Cobertura de Requisitos'!A57)</f>
        <v/>
      </c>
      <c r="B57" s="9" t="str">
        <f>IF($A57="","",'Cobertura de Requisitos'!B57)</f>
        <v/>
      </c>
      <c r="C57" s="8" t="str">
        <f>IF($A57="","",IF('Cobertura de Requisitos'!E57&gt;0,"Si","No"))</f>
        <v/>
      </c>
      <c r="D57" s="8" t="str">
        <f>IF($A57="","",IF('Cobertura de Requisitos'!F57&gt;0,"Si","No"))</f>
        <v/>
      </c>
      <c r="E57" s="8" t="str">
        <f>IF($A57="","",IF('Cobertura de Requisitos'!G57&gt;0,"Si","No"))</f>
        <v/>
      </c>
      <c r="F57" s="8" t="str">
        <f>IF($A57="","",IF('Cobertura de Requisitos'!H57&gt;0,"Si","No"))</f>
        <v/>
      </c>
      <c r="G57" s="8"/>
      <c r="H57" s="12" t="str">
        <f>IF($A57="","",'Cobertura de Requisitos'!J57)</f>
        <v/>
      </c>
      <c r="I57" s="8" t="str">
        <f t="shared" si="1"/>
        <v/>
      </c>
      <c r="J57" s="16"/>
    </row>
    <row r="58" ht="15.75" customHeight="1">
      <c r="A58" s="6" t="str">
        <f>IF('Cobertura de Requisitos'!A58="","",'Cobertura de Requisitos'!A58)</f>
        <v/>
      </c>
      <c r="B58" s="9" t="str">
        <f>IF($A58="","",'Cobertura de Requisitos'!B58)</f>
        <v/>
      </c>
      <c r="C58" s="8" t="str">
        <f>IF($A58="","",IF('Cobertura de Requisitos'!E58&gt;0,"Si","No"))</f>
        <v/>
      </c>
      <c r="D58" s="8" t="str">
        <f>IF($A58="","",IF('Cobertura de Requisitos'!F58&gt;0,"Si","No"))</f>
        <v/>
      </c>
      <c r="E58" s="8" t="str">
        <f>IF($A58="","",IF('Cobertura de Requisitos'!G58&gt;0,"Si","No"))</f>
        <v/>
      </c>
      <c r="F58" s="8" t="str">
        <f>IF($A58="","",IF('Cobertura de Requisitos'!H58&gt;0,"Si","No"))</f>
        <v/>
      </c>
      <c r="G58" s="8"/>
      <c r="H58" s="12" t="str">
        <f>IF($A58="","",'Cobertura de Requisitos'!J58)</f>
        <v/>
      </c>
      <c r="I58" s="8" t="str">
        <f t="shared" si="1"/>
        <v/>
      </c>
      <c r="J58" s="16"/>
    </row>
    <row r="59" ht="15.75" customHeight="1">
      <c r="A59" s="6" t="str">
        <f>IF('Cobertura de Requisitos'!A59="","",'Cobertura de Requisitos'!A59)</f>
        <v/>
      </c>
      <c r="B59" s="9" t="str">
        <f>IF($A59="","",'Cobertura de Requisitos'!B59)</f>
        <v/>
      </c>
      <c r="C59" s="8" t="str">
        <f>IF($A59="","",IF('Cobertura de Requisitos'!E59&gt;0,"Si","No"))</f>
        <v/>
      </c>
      <c r="D59" s="8" t="str">
        <f>IF($A59="","",IF('Cobertura de Requisitos'!F59&gt;0,"Si","No"))</f>
        <v/>
      </c>
      <c r="E59" s="8" t="str">
        <f>IF($A59="","",IF('Cobertura de Requisitos'!G59&gt;0,"Si","No"))</f>
        <v/>
      </c>
      <c r="F59" s="8" t="str">
        <f>IF($A59="","",IF('Cobertura de Requisitos'!H59&gt;0,"Si","No"))</f>
        <v/>
      </c>
      <c r="G59" s="8"/>
      <c r="H59" s="12" t="str">
        <f>IF($A59="","",'Cobertura de Requisitos'!J59)</f>
        <v/>
      </c>
      <c r="I59" s="8" t="str">
        <f t="shared" si="1"/>
        <v/>
      </c>
      <c r="J59" s="16"/>
    </row>
    <row r="60" ht="15.75" customHeight="1">
      <c r="A60" s="6" t="str">
        <f>IF('Cobertura de Requisitos'!A60="","",'Cobertura de Requisitos'!A60)</f>
        <v/>
      </c>
      <c r="B60" s="9" t="str">
        <f>IF($A60="","",'Cobertura de Requisitos'!B60)</f>
        <v/>
      </c>
      <c r="C60" s="8" t="str">
        <f>IF($A60="","",IF('Cobertura de Requisitos'!E60&gt;0,"Si","No"))</f>
        <v/>
      </c>
      <c r="D60" s="8" t="str">
        <f>IF($A60="","",IF('Cobertura de Requisitos'!F60&gt;0,"Si","No"))</f>
        <v/>
      </c>
      <c r="E60" s="8" t="str">
        <f>IF($A60="","",IF('Cobertura de Requisitos'!G60&gt;0,"Si","No"))</f>
        <v/>
      </c>
      <c r="F60" s="8" t="str">
        <f>IF($A60="","",IF('Cobertura de Requisitos'!H60&gt;0,"Si","No"))</f>
        <v/>
      </c>
      <c r="G60" s="8"/>
      <c r="H60" s="12" t="str">
        <f>IF($A60="","",'Cobertura de Requisitos'!J60)</f>
        <v/>
      </c>
      <c r="I60" s="8" t="str">
        <f t="shared" si="1"/>
        <v/>
      </c>
      <c r="J60" s="16"/>
    </row>
    <row r="61" ht="15.75" customHeight="1">
      <c r="A61" s="6" t="str">
        <f>IF('Cobertura de Requisitos'!A61="","",'Cobertura de Requisitos'!A61)</f>
        <v/>
      </c>
      <c r="B61" s="9" t="str">
        <f>IF($A61="","",'Cobertura de Requisitos'!B61)</f>
        <v/>
      </c>
      <c r="C61" s="8" t="str">
        <f>IF($A61="","",IF('Cobertura de Requisitos'!E61&gt;0,"Si","No"))</f>
        <v/>
      </c>
      <c r="D61" s="8" t="str">
        <f>IF($A61="","",IF('Cobertura de Requisitos'!F61&gt;0,"Si","No"))</f>
        <v/>
      </c>
      <c r="E61" s="8" t="str">
        <f>IF($A61="","",IF('Cobertura de Requisitos'!G61&gt;0,"Si","No"))</f>
        <v/>
      </c>
      <c r="F61" s="8" t="str">
        <f>IF($A61="","",IF('Cobertura de Requisitos'!H61&gt;0,"Si","No"))</f>
        <v/>
      </c>
      <c r="G61" s="8"/>
      <c r="H61" s="12" t="str">
        <f>IF($A61="","",'Cobertura de Requisitos'!J61)</f>
        <v/>
      </c>
      <c r="I61" s="8" t="str">
        <f t="shared" si="1"/>
        <v/>
      </c>
      <c r="J61" s="16"/>
    </row>
    <row r="62" ht="15.75" customHeight="1">
      <c r="A62" s="6" t="str">
        <f>IF('Cobertura de Requisitos'!A62="","",'Cobertura de Requisitos'!A62)</f>
        <v/>
      </c>
      <c r="B62" s="9" t="str">
        <f>IF($A62="","",'Cobertura de Requisitos'!B62)</f>
        <v/>
      </c>
      <c r="C62" s="8" t="str">
        <f>IF($A62="","",IF('Cobertura de Requisitos'!E62&gt;0,"Si","No"))</f>
        <v/>
      </c>
      <c r="D62" s="8" t="str">
        <f>IF($A62="","",IF('Cobertura de Requisitos'!F62&gt;0,"Si","No"))</f>
        <v/>
      </c>
      <c r="E62" s="8" t="str">
        <f>IF($A62="","",IF('Cobertura de Requisitos'!G62&gt;0,"Si","No"))</f>
        <v/>
      </c>
      <c r="F62" s="8" t="str">
        <f>IF($A62="","",IF('Cobertura de Requisitos'!H62&gt;0,"Si","No"))</f>
        <v/>
      </c>
      <c r="G62" s="8"/>
      <c r="H62" s="12" t="str">
        <f>IF($A62="","",'Cobertura de Requisitos'!J62)</f>
        <v/>
      </c>
      <c r="I62" s="8" t="str">
        <f t="shared" si="1"/>
        <v/>
      </c>
      <c r="J62" s="16"/>
    </row>
    <row r="63" ht="15.75" customHeight="1">
      <c r="A63" s="6" t="str">
        <f>IF('Cobertura de Requisitos'!A63="","",'Cobertura de Requisitos'!A63)</f>
        <v/>
      </c>
      <c r="B63" s="9" t="str">
        <f>IF($A63="","",'Cobertura de Requisitos'!B63)</f>
        <v/>
      </c>
      <c r="C63" s="8" t="str">
        <f>IF($A63="","",IF('Cobertura de Requisitos'!E63&gt;0,"Si","No"))</f>
        <v/>
      </c>
      <c r="D63" s="8" t="str">
        <f>IF($A63="","",IF('Cobertura de Requisitos'!F63&gt;0,"Si","No"))</f>
        <v/>
      </c>
      <c r="E63" s="8" t="str">
        <f>IF($A63="","",IF('Cobertura de Requisitos'!G63&gt;0,"Si","No"))</f>
        <v/>
      </c>
      <c r="F63" s="8" t="str">
        <f>IF($A63="","",IF('Cobertura de Requisitos'!H63&gt;0,"Si","No"))</f>
        <v/>
      </c>
      <c r="G63" s="8"/>
      <c r="H63" s="12" t="str">
        <f>IF($A63="","",'Cobertura de Requisitos'!J63)</f>
        <v/>
      </c>
      <c r="I63" s="8" t="str">
        <f t="shared" si="1"/>
        <v/>
      </c>
      <c r="J63" s="16"/>
    </row>
    <row r="64" ht="15.75" customHeight="1">
      <c r="A64" s="6" t="str">
        <f>IF('Cobertura de Requisitos'!A64="","",'Cobertura de Requisitos'!A64)</f>
        <v/>
      </c>
      <c r="B64" s="9" t="str">
        <f>IF($A64="","",'Cobertura de Requisitos'!B64)</f>
        <v/>
      </c>
      <c r="C64" s="8" t="str">
        <f>IF($A64="","",IF('Cobertura de Requisitos'!E64&gt;0,"Si","No"))</f>
        <v/>
      </c>
      <c r="D64" s="8" t="str">
        <f>IF($A64="","",IF('Cobertura de Requisitos'!F64&gt;0,"Si","No"))</f>
        <v/>
      </c>
      <c r="E64" s="8" t="str">
        <f>IF($A64="","",IF('Cobertura de Requisitos'!G64&gt;0,"Si","No"))</f>
        <v/>
      </c>
      <c r="F64" s="8" t="str">
        <f>IF($A64="","",IF('Cobertura de Requisitos'!H64&gt;0,"Si","No"))</f>
        <v/>
      </c>
      <c r="G64" s="8"/>
      <c r="H64" s="12" t="str">
        <f>IF($A64="","",'Cobertura de Requisitos'!J64)</f>
        <v/>
      </c>
      <c r="I64" s="8" t="str">
        <f t="shared" si="1"/>
        <v/>
      </c>
      <c r="J64" s="16"/>
    </row>
    <row r="65" ht="15.75" customHeight="1">
      <c r="A65" s="6" t="str">
        <f>IF('Cobertura de Requisitos'!A65="","",'Cobertura de Requisitos'!A65)</f>
        <v/>
      </c>
      <c r="B65" s="9" t="str">
        <f>IF($A65="","",'Cobertura de Requisitos'!B65)</f>
        <v/>
      </c>
      <c r="C65" s="8" t="str">
        <f>IF($A65="","",IF('Cobertura de Requisitos'!E65&gt;0,"Si","No"))</f>
        <v/>
      </c>
      <c r="D65" s="8" t="str">
        <f>IF($A65="","",IF('Cobertura de Requisitos'!F65&gt;0,"Si","No"))</f>
        <v/>
      </c>
      <c r="E65" s="8" t="str">
        <f>IF($A65="","",IF('Cobertura de Requisitos'!G65&gt;0,"Si","No"))</f>
        <v/>
      </c>
      <c r="F65" s="8" t="str">
        <f>IF($A65="","",IF('Cobertura de Requisitos'!H65&gt;0,"Si","No"))</f>
        <v/>
      </c>
      <c r="G65" s="8"/>
      <c r="H65" s="12" t="str">
        <f>IF($A65="","",'Cobertura de Requisitos'!J65)</f>
        <v/>
      </c>
      <c r="I65" s="8" t="str">
        <f t="shared" si="1"/>
        <v/>
      </c>
      <c r="J65" s="16"/>
    </row>
    <row r="66" ht="15.75" customHeight="1">
      <c r="A66" s="6" t="str">
        <f>IF('Cobertura de Requisitos'!A66="","",'Cobertura de Requisitos'!A66)</f>
        <v/>
      </c>
      <c r="B66" s="9" t="str">
        <f>IF($A66="","",'Cobertura de Requisitos'!B66)</f>
        <v/>
      </c>
      <c r="C66" s="8" t="str">
        <f>IF($A66="","",IF('Cobertura de Requisitos'!E66&gt;0,"Si","No"))</f>
        <v/>
      </c>
      <c r="D66" s="8" t="str">
        <f>IF($A66="","",IF('Cobertura de Requisitos'!F66&gt;0,"Si","No"))</f>
        <v/>
      </c>
      <c r="E66" s="8" t="str">
        <f>IF($A66="","",IF('Cobertura de Requisitos'!G66&gt;0,"Si","No"))</f>
        <v/>
      </c>
      <c r="F66" s="8" t="str">
        <f>IF($A66="","",IF('Cobertura de Requisitos'!H66&gt;0,"Si","No"))</f>
        <v/>
      </c>
      <c r="G66" s="8"/>
      <c r="H66" s="12" t="str">
        <f>IF($A66="","",'Cobertura de Requisitos'!J66)</f>
        <v/>
      </c>
      <c r="I66" s="8" t="str">
        <f t="shared" si="1"/>
        <v/>
      </c>
      <c r="J66" s="16"/>
    </row>
    <row r="67" ht="15.75" customHeight="1">
      <c r="A67" s="6" t="str">
        <f>IF('Cobertura de Requisitos'!A67="","",'Cobertura de Requisitos'!A67)</f>
        <v/>
      </c>
      <c r="B67" s="9" t="str">
        <f>IF($A67="","",'Cobertura de Requisitos'!B67)</f>
        <v/>
      </c>
      <c r="C67" s="8" t="str">
        <f>IF($A67="","",IF('Cobertura de Requisitos'!E67&gt;0,"Si","No"))</f>
        <v/>
      </c>
      <c r="D67" s="8" t="str">
        <f>IF($A67="","",IF('Cobertura de Requisitos'!F67&gt;0,"Si","No"))</f>
        <v/>
      </c>
      <c r="E67" s="8" t="str">
        <f>IF($A67="","",IF('Cobertura de Requisitos'!G67&gt;0,"Si","No"))</f>
        <v/>
      </c>
      <c r="F67" s="8" t="str">
        <f>IF($A67="","",IF('Cobertura de Requisitos'!H67&gt;0,"Si","No"))</f>
        <v/>
      </c>
      <c r="G67" s="8"/>
      <c r="H67" s="12" t="str">
        <f>IF($A67="","",'Cobertura de Requisitos'!J67)</f>
        <v/>
      </c>
      <c r="I67" s="8" t="str">
        <f t="shared" si="1"/>
        <v/>
      </c>
      <c r="J67" s="16"/>
    </row>
    <row r="68" ht="15.75" customHeight="1">
      <c r="A68" s="6" t="str">
        <f>IF('Cobertura de Requisitos'!A68="","",'Cobertura de Requisitos'!A68)</f>
        <v/>
      </c>
      <c r="B68" s="9" t="str">
        <f>IF($A68="","",'Cobertura de Requisitos'!B68)</f>
        <v/>
      </c>
      <c r="C68" s="8" t="str">
        <f>IF($A68="","",IF('Cobertura de Requisitos'!E68&gt;0,"Si","No"))</f>
        <v/>
      </c>
      <c r="D68" s="8" t="str">
        <f>IF($A68="","",IF('Cobertura de Requisitos'!F68&gt;0,"Si","No"))</f>
        <v/>
      </c>
      <c r="E68" s="8" t="str">
        <f>IF($A68="","",IF('Cobertura de Requisitos'!G68&gt;0,"Si","No"))</f>
        <v/>
      </c>
      <c r="F68" s="8" t="str">
        <f>IF($A68="","",IF('Cobertura de Requisitos'!H68&gt;0,"Si","No"))</f>
        <v/>
      </c>
      <c r="G68" s="8"/>
      <c r="H68" s="12" t="str">
        <f>IF($A68="","",'Cobertura de Requisitos'!J68)</f>
        <v/>
      </c>
      <c r="I68" s="8" t="str">
        <f t="shared" si="1"/>
        <v/>
      </c>
      <c r="J68" s="16"/>
    </row>
    <row r="69" ht="15.75" customHeight="1">
      <c r="A69" s="6" t="str">
        <f>IF('Cobertura de Requisitos'!A69="","",'Cobertura de Requisitos'!A69)</f>
        <v/>
      </c>
      <c r="B69" s="9" t="str">
        <f>IF($A69="","",'Cobertura de Requisitos'!B69)</f>
        <v/>
      </c>
      <c r="C69" s="8" t="str">
        <f>IF($A69="","",IF('Cobertura de Requisitos'!E69&gt;0,"Si","No"))</f>
        <v/>
      </c>
      <c r="D69" s="8" t="str">
        <f>IF($A69="","",IF('Cobertura de Requisitos'!F69&gt;0,"Si","No"))</f>
        <v/>
      </c>
      <c r="E69" s="8" t="str">
        <f>IF($A69="","",IF('Cobertura de Requisitos'!G69&gt;0,"Si","No"))</f>
        <v/>
      </c>
      <c r="F69" s="8" t="str">
        <f>IF($A69="","",IF('Cobertura de Requisitos'!H69&gt;0,"Si","No"))</f>
        <v/>
      </c>
      <c r="G69" s="8"/>
      <c r="H69" s="12" t="str">
        <f>IF($A69="","",'Cobertura de Requisitos'!J69)</f>
        <v/>
      </c>
      <c r="I69" s="8" t="str">
        <f t="shared" si="1"/>
        <v/>
      </c>
      <c r="J69" s="16"/>
    </row>
    <row r="70" ht="15.75" customHeight="1">
      <c r="A70" s="6" t="str">
        <f>IF('Cobertura de Requisitos'!A70="","",'Cobertura de Requisitos'!A70)</f>
        <v/>
      </c>
      <c r="B70" s="9" t="str">
        <f>IF($A70="","",'Cobertura de Requisitos'!B70)</f>
        <v/>
      </c>
      <c r="C70" s="8" t="str">
        <f>IF($A70="","",IF('Cobertura de Requisitos'!E70&gt;0,"Si","No"))</f>
        <v/>
      </c>
      <c r="D70" s="8" t="str">
        <f>IF($A70="","",IF('Cobertura de Requisitos'!F70&gt;0,"Si","No"))</f>
        <v/>
      </c>
      <c r="E70" s="8" t="str">
        <f>IF($A70="","",IF('Cobertura de Requisitos'!G70&gt;0,"Si","No"))</f>
        <v/>
      </c>
      <c r="F70" s="8" t="str">
        <f>IF($A70="","",IF('Cobertura de Requisitos'!H70&gt;0,"Si","No"))</f>
        <v/>
      </c>
      <c r="G70" s="8"/>
      <c r="H70" s="12" t="str">
        <f>IF($A70="","",'Cobertura de Requisitos'!J70)</f>
        <v/>
      </c>
      <c r="I70" s="8" t="str">
        <f t="shared" si="1"/>
        <v/>
      </c>
      <c r="J70" s="16"/>
    </row>
    <row r="71" ht="15.75" customHeight="1">
      <c r="A71" s="6" t="str">
        <f>IF('Cobertura de Requisitos'!A71="","",'Cobertura de Requisitos'!A71)</f>
        <v/>
      </c>
      <c r="B71" s="9" t="str">
        <f>IF($A71="","",'Cobertura de Requisitos'!B71)</f>
        <v/>
      </c>
      <c r="C71" s="8" t="str">
        <f>IF($A71="","",IF('Cobertura de Requisitos'!E71&gt;0,"Si","No"))</f>
        <v/>
      </c>
      <c r="D71" s="8" t="str">
        <f>IF($A71="","",IF('Cobertura de Requisitos'!F71&gt;0,"Si","No"))</f>
        <v/>
      </c>
      <c r="E71" s="8" t="str">
        <f>IF($A71="","",IF('Cobertura de Requisitos'!G71&gt;0,"Si","No"))</f>
        <v/>
      </c>
      <c r="F71" s="8" t="str">
        <f>IF($A71="","",IF('Cobertura de Requisitos'!H71&gt;0,"Si","No"))</f>
        <v/>
      </c>
      <c r="G71" s="8"/>
      <c r="H71" s="12" t="str">
        <f>IF($A71="","",'Cobertura de Requisitos'!J71)</f>
        <v/>
      </c>
      <c r="I71" s="8" t="str">
        <f t="shared" si="1"/>
        <v/>
      </c>
      <c r="J71" s="16"/>
    </row>
    <row r="72" ht="15.75" customHeight="1">
      <c r="A72" s="6" t="str">
        <f>IF('Cobertura de Requisitos'!A72="","",'Cobertura de Requisitos'!A72)</f>
        <v/>
      </c>
      <c r="B72" s="9" t="str">
        <f>IF($A72="","",'Cobertura de Requisitos'!B72)</f>
        <v/>
      </c>
      <c r="C72" s="8" t="str">
        <f>IF($A72="","",IF('Cobertura de Requisitos'!E72&gt;0,"Si","No"))</f>
        <v/>
      </c>
      <c r="D72" s="8" t="str">
        <f>IF($A72="","",IF('Cobertura de Requisitos'!F72&gt;0,"Si","No"))</f>
        <v/>
      </c>
      <c r="E72" s="8" t="str">
        <f>IF($A72="","",IF('Cobertura de Requisitos'!G72&gt;0,"Si","No"))</f>
        <v/>
      </c>
      <c r="F72" s="8" t="str">
        <f>IF($A72="","",IF('Cobertura de Requisitos'!H72&gt;0,"Si","No"))</f>
        <v/>
      </c>
      <c r="G72" s="8"/>
      <c r="H72" s="12" t="str">
        <f>IF($A72="","",'Cobertura de Requisitos'!J72)</f>
        <v/>
      </c>
      <c r="I72" s="8" t="str">
        <f t="shared" si="1"/>
        <v/>
      </c>
      <c r="J72" s="16"/>
    </row>
    <row r="73" ht="15.75" customHeight="1">
      <c r="A73" s="6" t="str">
        <f>IF('Cobertura de Requisitos'!A73="","",'Cobertura de Requisitos'!A73)</f>
        <v/>
      </c>
      <c r="B73" s="9" t="str">
        <f>IF($A73="","",'Cobertura de Requisitos'!B73)</f>
        <v/>
      </c>
      <c r="C73" s="8" t="str">
        <f>IF($A73="","",IF('Cobertura de Requisitos'!E73&gt;0,"Si","No"))</f>
        <v/>
      </c>
      <c r="D73" s="8" t="str">
        <f>IF($A73="","",IF('Cobertura de Requisitos'!F73&gt;0,"Si","No"))</f>
        <v/>
      </c>
      <c r="E73" s="8" t="str">
        <f>IF($A73="","",IF('Cobertura de Requisitos'!G73&gt;0,"Si","No"))</f>
        <v/>
      </c>
      <c r="F73" s="8" t="str">
        <f>IF($A73="","",IF('Cobertura de Requisitos'!H73&gt;0,"Si","No"))</f>
        <v/>
      </c>
      <c r="G73" s="8"/>
      <c r="H73" s="12" t="str">
        <f>IF($A73="","",'Cobertura de Requisitos'!J73)</f>
        <v/>
      </c>
      <c r="I73" s="8" t="str">
        <f t="shared" si="1"/>
        <v/>
      </c>
      <c r="J73" s="16"/>
    </row>
    <row r="74" ht="15.75" customHeight="1">
      <c r="A74" s="6" t="str">
        <f>IF('Cobertura de Requisitos'!A74="","",'Cobertura de Requisitos'!A74)</f>
        <v/>
      </c>
      <c r="B74" s="9" t="str">
        <f>IF($A74="","",'Cobertura de Requisitos'!B74)</f>
        <v/>
      </c>
      <c r="C74" s="8" t="str">
        <f>IF($A74="","",IF('Cobertura de Requisitos'!E74&gt;0,"Si","No"))</f>
        <v/>
      </c>
      <c r="D74" s="8" t="str">
        <f>IF($A74="","",IF('Cobertura de Requisitos'!F74&gt;0,"Si","No"))</f>
        <v/>
      </c>
      <c r="E74" s="8" t="str">
        <f>IF($A74="","",IF('Cobertura de Requisitos'!G74&gt;0,"Si","No"))</f>
        <v/>
      </c>
      <c r="F74" s="8" t="str">
        <f>IF($A74="","",IF('Cobertura de Requisitos'!H74&gt;0,"Si","No"))</f>
        <v/>
      </c>
      <c r="G74" s="8"/>
      <c r="H74" s="12" t="str">
        <f>IF($A74="","",'Cobertura de Requisitos'!J74)</f>
        <v/>
      </c>
      <c r="I74" s="8" t="str">
        <f t="shared" si="1"/>
        <v/>
      </c>
      <c r="J74" s="16"/>
    </row>
    <row r="75" ht="15.75" customHeight="1">
      <c r="A75" s="6" t="str">
        <f>IF('Cobertura de Requisitos'!A75="","",'Cobertura de Requisitos'!A75)</f>
        <v/>
      </c>
      <c r="B75" s="9" t="str">
        <f>IF($A75="","",'Cobertura de Requisitos'!B75)</f>
        <v/>
      </c>
      <c r="C75" s="8" t="str">
        <f>IF($A75="","",IF('Cobertura de Requisitos'!E75&gt;0,"Si","No"))</f>
        <v/>
      </c>
      <c r="D75" s="8" t="str">
        <f>IF($A75="","",IF('Cobertura de Requisitos'!F75&gt;0,"Si","No"))</f>
        <v/>
      </c>
      <c r="E75" s="8" t="str">
        <f>IF($A75="","",IF('Cobertura de Requisitos'!G75&gt;0,"Si","No"))</f>
        <v/>
      </c>
      <c r="F75" s="8" t="str">
        <f>IF($A75="","",IF('Cobertura de Requisitos'!H75&gt;0,"Si","No"))</f>
        <v/>
      </c>
      <c r="G75" s="8"/>
      <c r="H75" s="12" t="str">
        <f>IF($A75="","",'Cobertura de Requisitos'!J75)</f>
        <v/>
      </c>
      <c r="I75" s="8" t="str">
        <f t="shared" si="1"/>
        <v/>
      </c>
      <c r="J75" s="16"/>
    </row>
    <row r="76" ht="15.75" customHeight="1">
      <c r="A76" s="6" t="str">
        <f>IF('Cobertura de Requisitos'!A76="","",'Cobertura de Requisitos'!A76)</f>
        <v/>
      </c>
      <c r="B76" s="9" t="str">
        <f>IF($A76="","",'Cobertura de Requisitos'!B76)</f>
        <v/>
      </c>
      <c r="C76" s="8" t="str">
        <f>IF($A76="","",IF('Cobertura de Requisitos'!E76&gt;0,"Si","No"))</f>
        <v/>
      </c>
      <c r="D76" s="8" t="str">
        <f>IF($A76="","",IF('Cobertura de Requisitos'!F76&gt;0,"Si","No"))</f>
        <v/>
      </c>
      <c r="E76" s="8" t="str">
        <f>IF($A76="","",IF('Cobertura de Requisitos'!G76&gt;0,"Si","No"))</f>
        <v/>
      </c>
      <c r="F76" s="8" t="str">
        <f>IF($A76="","",IF('Cobertura de Requisitos'!H76&gt;0,"Si","No"))</f>
        <v/>
      </c>
      <c r="G76" s="8"/>
      <c r="H76" s="12" t="str">
        <f>IF($A76="","",'Cobertura de Requisitos'!J76)</f>
        <v/>
      </c>
      <c r="I76" s="8" t="str">
        <f t="shared" si="1"/>
        <v/>
      </c>
      <c r="J76" s="16"/>
    </row>
    <row r="77" ht="15.75" customHeight="1">
      <c r="A77" s="6" t="str">
        <f>IF('Cobertura de Requisitos'!A77="","",'Cobertura de Requisitos'!A77)</f>
        <v/>
      </c>
      <c r="B77" s="9" t="str">
        <f>IF($A77="","",'Cobertura de Requisitos'!B77)</f>
        <v/>
      </c>
      <c r="C77" s="8" t="str">
        <f>IF($A77="","",IF('Cobertura de Requisitos'!E77&gt;0,"Si","No"))</f>
        <v/>
      </c>
      <c r="D77" s="8" t="str">
        <f>IF($A77="","",IF('Cobertura de Requisitos'!F77&gt;0,"Si","No"))</f>
        <v/>
      </c>
      <c r="E77" s="8" t="str">
        <f>IF($A77="","",IF('Cobertura de Requisitos'!G77&gt;0,"Si","No"))</f>
        <v/>
      </c>
      <c r="F77" s="8" t="str">
        <f>IF($A77="","",IF('Cobertura de Requisitos'!H77&gt;0,"Si","No"))</f>
        <v/>
      </c>
      <c r="G77" s="8"/>
      <c r="H77" s="12" t="str">
        <f>IF($A77="","",'Cobertura de Requisitos'!J77)</f>
        <v/>
      </c>
      <c r="I77" s="8" t="str">
        <f t="shared" si="1"/>
        <v/>
      </c>
      <c r="J77" s="16"/>
    </row>
    <row r="78" ht="15.75" customHeight="1">
      <c r="A78" s="6" t="str">
        <f>IF('Cobertura de Requisitos'!A78="","",'Cobertura de Requisitos'!A78)</f>
        <v/>
      </c>
      <c r="B78" s="9" t="str">
        <f>IF($A78="","",'Cobertura de Requisitos'!B78)</f>
        <v/>
      </c>
      <c r="C78" s="8" t="str">
        <f>IF($A78="","",IF('Cobertura de Requisitos'!E78&gt;0,"Si","No"))</f>
        <v/>
      </c>
      <c r="D78" s="8" t="str">
        <f>IF($A78="","",IF('Cobertura de Requisitos'!F78&gt;0,"Si","No"))</f>
        <v/>
      </c>
      <c r="E78" s="8" t="str">
        <f>IF($A78="","",IF('Cobertura de Requisitos'!G78&gt;0,"Si","No"))</f>
        <v/>
      </c>
      <c r="F78" s="8" t="str">
        <f>IF($A78="","",IF('Cobertura de Requisitos'!H78&gt;0,"Si","No"))</f>
        <v/>
      </c>
      <c r="G78" s="8"/>
      <c r="H78" s="12" t="str">
        <f>IF($A78="","",'Cobertura de Requisitos'!J78)</f>
        <v/>
      </c>
      <c r="I78" s="8" t="str">
        <f t="shared" si="1"/>
        <v/>
      </c>
      <c r="J78" s="16"/>
    </row>
    <row r="79" ht="15.75" customHeight="1">
      <c r="A79" s="6" t="str">
        <f>IF('Cobertura de Requisitos'!A79="","",'Cobertura de Requisitos'!A79)</f>
        <v/>
      </c>
      <c r="B79" s="9" t="str">
        <f>IF($A79="","",'Cobertura de Requisitos'!B79)</f>
        <v/>
      </c>
      <c r="C79" s="8" t="str">
        <f>IF($A79="","",IF('Cobertura de Requisitos'!E79&gt;0,"Si","No"))</f>
        <v/>
      </c>
      <c r="D79" s="8" t="str">
        <f>IF($A79="","",IF('Cobertura de Requisitos'!F79&gt;0,"Si","No"))</f>
        <v/>
      </c>
      <c r="E79" s="8" t="str">
        <f>IF($A79="","",IF('Cobertura de Requisitos'!G79&gt;0,"Si","No"))</f>
        <v/>
      </c>
      <c r="F79" s="8" t="str">
        <f>IF($A79="","",IF('Cobertura de Requisitos'!H79&gt;0,"Si","No"))</f>
        <v/>
      </c>
      <c r="G79" s="8"/>
      <c r="H79" s="12" t="str">
        <f>IF($A79="","",'Cobertura de Requisitos'!J79)</f>
        <v/>
      </c>
      <c r="I79" s="8" t="str">
        <f t="shared" si="1"/>
        <v/>
      </c>
      <c r="J79" s="16"/>
    </row>
    <row r="80" ht="15.75" customHeight="1">
      <c r="A80" s="6" t="str">
        <f>IF('Cobertura de Requisitos'!A80="","",'Cobertura de Requisitos'!A80)</f>
        <v/>
      </c>
      <c r="B80" s="9" t="str">
        <f>IF($A80="","",'Cobertura de Requisitos'!B80)</f>
        <v/>
      </c>
      <c r="C80" s="8" t="str">
        <f>IF($A80="","",IF('Cobertura de Requisitos'!E80&gt;0,"Si","No"))</f>
        <v/>
      </c>
      <c r="D80" s="8" t="str">
        <f>IF($A80="","",IF('Cobertura de Requisitos'!F80&gt;0,"Si","No"))</f>
        <v/>
      </c>
      <c r="E80" s="8" t="str">
        <f>IF($A80="","",IF('Cobertura de Requisitos'!G80&gt;0,"Si","No"))</f>
        <v/>
      </c>
      <c r="F80" s="8" t="str">
        <f>IF($A80="","",IF('Cobertura de Requisitos'!H80&gt;0,"Si","No"))</f>
        <v/>
      </c>
      <c r="G80" s="8"/>
      <c r="H80" s="12" t="str">
        <f>IF($A80="","",'Cobertura de Requisitos'!J80)</f>
        <v/>
      </c>
      <c r="I80" s="8" t="str">
        <f t="shared" si="1"/>
        <v/>
      </c>
      <c r="J80" s="16"/>
    </row>
    <row r="81" ht="15.75" customHeight="1">
      <c r="A81" s="6" t="str">
        <f>IF('Cobertura de Requisitos'!A81="","",'Cobertura de Requisitos'!A81)</f>
        <v/>
      </c>
      <c r="B81" s="9" t="str">
        <f>IF($A81="","",'Cobertura de Requisitos'!B81)</f>
        <v/>
      </c>
      <c r="C81" s="8" t="str">
        <f>IF($A81="","",IF('Cobertura de Requisitos'!E81&gt;0,"Si","No"))</f>
        <v/>
      </c>
      <c r="D81" s="8" t="str">
        <f>IF($A81="","",IF('Cobertura de Requisitos'!F81&gt;0,"Si","No"))</f>
        <v/>
      </c>
      <c r="E81" s="8" t="str">
        <f>IF($A81="","",IF('Cobertura de Requisitos'!G81&gt;0,"Si","No"))</f>
        <v/>
      </c>
      <c r="F81" s="8" t="str">
        <f>IF($A81="","",IF('Cobertura de Requisitos'!H81&gt;0,"Si","No"))</f>
        <v/>
      </c>
      <c r="G81" s="8"/>
      <c r="H81" s="12" t="str">
        <f>IF($A81="","",'Cobertura de Requisitos'!J81)</f>
        <v/>
      </c>
      <c r="I81" s="8" t="str">
        <f t="shared" si="1"/>
        <v/>
      </c>
      <c r="J81" s="16"/>
    </row>
    <row r="82" ht="15.75" customHeight="1">
      <c r="A82" s="6" t="str">
        <f>IF('Cobertura de Requisitos'!A82="","",'Cobertura de Requisitos'!A82)</f>
        <v/>
      </c>
      <c r="B82" s="9" t="str">
        <f>IF($A82="","",'Cobertura de Requisitos'!B82)</f>
        <v/>
      </c>
      <c r="C82" s="8" t="str">
        <f>IF($A82="","",IF('Cobertura de Requisitos'!E82&gt;0,"Si","No"))</f>
        <v/>
      </c>
      <c r="D82" s="8" t="str">
        <f>IF($A82="","",IF('Cobertura de Requisitos'!F82&gt;0,"Si","No"))</f>
        <v/>
      </c>
      <c r="E82" s="8" t="str">
        <f>IF($A82="","",IF('Cobertura de Requisitos'!G82&gt;0,"Si","No"))</f>
        <v/>
      </c>
      <c r="F82" s="8" t="str">
        <f>IF($A82="","",IF('Cobertura de Requisitos'!H82&gt;0,"Si","No"))</f>
        <v/>
      </c>
      <c r="G82" s="8"/>
      <c r="H82" s="12" t="str">
        <f>IF($A82="","",'Cobertura de Requisitos'!J82)</f>
        <v/>
      </c>
      <c r="I82" s="8" t="str">
        <f t="shared" si="1"/>
        <v/>
      </c>
      <c r="J82" s="16"/>
    </row>
    <row r="83" ht="15.75" customHeight="1">
      <c r="A83" s="6" t="str">
        <f>IF('Cobertura de Requisitos'!A83="","",'Cobertura de Requisitos'!A83)</f>
        <v/>
      </c>
      <c r="B83" s="9" t="str">
        <f>IF($A83="","",'Cobertura de Requisitos'!B83)</f>
        <v/>
      </c>
      <c r="C83" s="8" t="str">
        <f>IF($A83="","",IF('Cobertura de Requisitos'!E83&gt;0,"Si","No"))</f>
        <v/>
      </c>
      <c r="D83" s="8" t="str">
        <f>IF($A83="","",IF('Cobertura de Requisitos'!F83&gt;0,"Si","No"))</f>
        <v/>
      </c>
      <c r="E83" s="8" t="str">
        <f>IF($A83="","",IF('Cobertura de Requisitos'!G83&gt;0,"Si","No"))</f>
        <v/>
      </c>
      <c r="F83" s="8" t="str">
        <f>IF($A83="","",IF('Cobertura de Requisitos'!H83&gt;0,"Si","No"))</f>
        <v/>
      </c>
      <c r="G83" s="8"/>
      <c r="H83" s="12" t="str">
        <f>IF($A83="","",'Cobertura de Requisitos'!J83)</f>
        <v/>
      </c>
      <c r="I83" s="8" t="str">
        <f t="shared" si="1"/>
        <v/>
      </c>
      <c r="J83" s="16"/>
    </row>
    <row r="84" ht="15.75" customHeight="1">
      <c r="A84" s="6" t="str">
        <f>IF('Cobertura de Requisitos'!A84="","",'Cobertura de Requisitos'!A84)</f>
        <v/>
      </c>
      <c r="B84" s="9" t="str">
        <f>IF($A84="","",'Cobertura de Requisitos'!B84)</f>
        <v/>
      </c>
      <c r="C84" s="8" t="str">
        <f>IF($A84="","",IF('Cobertura de Requisitos'!E84&gt;0,"Si","No"))</f>
        <v/>
      </c>
      <c r="D84" s="8" t="str">
        <f>IF($A84="","",IF('Cobertura de Requisitos'!F84&gt;0,"Si","No"))</f>
        <v/>
      </c>
      <c r="E84" s="8" t="str">
        <f>IF($A84="","",IF('Cobertura de Requisitos'!G84&gt;0,"Si","No"))</f>
        <v/>
      </c>
      <c r="F84" s="8" t="str">
        <f>IF($A84="","",IF('Cobertura de Requisitos'!H84&gt;0,"Si","No"))</f>
        <v/>
      </c>
      <c r="G84" s="8"/>
      <c r="H84" s="12" t="str">
        <f>IF($A84="","",'Cobertura de Requisitos'!J84)</f>
        <v/>
      </c>
      <c r="I84" s="8" t="str">
        <f t="shared" si="1"/>
        <v/>
      </c>
      <c r="J84" s="16"/>
    </row>
    <row r="85" ht="15.75" customHeight="1">
      <c r="A85" s="6" t="str">
        <f>IF('Cobertura de Requisitos'!A85="","",'Cobertura de Requisitos'!A85)</f>
        <v/>
      </c>
      <c r="B85" s="9" t="str">
        <f>IF($A85="","",'Cobertura de Requisitos'!B85)</f>
        <v/>
      </c>
      <c r="C85" s="8" t="str">
        <f>IF($A85="","",IF('Cobertura de Requisitos'!E85&gt;0,"Si","No"))</f>
        <v/>
      </c>
      <c r="D85" s="8" t="str">
        <f>IF($A85="","",IF('Cobertura de Requisitos'!F85&gt;0,"Si","No"))</f>
        <v/>
      </c>
      <c r="E85" s="8" t="str">
        <f>IF($A85="","",IF('Cobertura de Requisitos'!G85&gt;0,"Si","No"))</f>
        <v/>
      </c>
      <c r="F85" s="8" t="str">
        <f>IF($A85="","",IF('Cobertura de Requisitos'!H85&gt;0,"Si","No"))</f>
        <v/>
      </c>
      <c r="G85" s="8"/>
      <c r="H85" s="12" t="str">
        <f>IF($A85="","",'Cobertura de Requisitos'!J85)</f>
        <v/>
      </c>
      <c r="I85" s="8" t="str">
        <f t="shared" si="1"/>
        <v/>
      </c>
      <c r="J85" s="16"/>
    </row>
    <row r="86" ht="15.75" customHeight="1">
      <c r="A86" s="6" t="str">
        <f>IF('Cobertura de Requisitos'!A86="","",'Cobertura de Requisitos'!A86)</f>
        <v/>
      </c>
      <c r="B86" s="9" t="str">
        <f>IF($A86="","",'Cobertura de Requisitos'!B86)</f>
        <v/>
      </c>
      <c r="C86" s="8" t="str">
        <f>IF($A86="","",IF('Cobertura de Requisitos'!E86&gt;0,"Si","No"))</f>
        <v/>
      </c>
      <c r="D86" s="8" t="str">
        <f>IF($A86="","",IF('Cobertura de Requisitos'!F86&gt;0,"Si","No"))</f>
        <v/>
      </c>
      <c r="E86" s="8" t="str">
        <f>IF($A86="","",IF('Cobertura de Requisitos'!G86&gt;0,"Si","No"))</f>
        <v/>
      </c>
      <c r="F86" s="8" t="str">
        <f>IF($A86="","",IF('Cobertura de Requisitos'!H86&gt;0,"Si","No"))</f>
        <v/>
      </c>
      <c r="G86" s="8"/>
      <c r="H86" s="12" t="str">
        <f>IF($A86="","",'Cobertura de Requisitos'!J86)</f>
        <v/>
      </c>
      <c r="I86" s="8" t="str">
        <f t="shared" si="1"/>
        <v/>
      </c>
      <c r="J86" s="16"/>
    </row>
    <row r="87" ht="15.75" customHeight="1">
      <c r="A87" s="6" t="str">
        <f>IF('Cobertura de Requisitos'!A87="","",'Cobertura de Requisitos'!A87)</f>
        <v/>
      </c>
      <c r="B87" s="9" t="str">
        <f>IF($A87="","",'Cobertura de Requisitos'!B87)</f>
        <v/>
      </c>
      <c r="C87" s="8" t="str">
        <f>IF($A87="","",IF('Cobertura de Requisitos'!E87&gt;0,"Si","No"))</f>
        <v/>
      </c>
      <c r="D87" s="8" t="str">
        <f>IF($A87="","",IF('Cobertura de Requisitos'!F87&gt;0,"Si","No"))</f>
        <v/>
      </c>
      <c r="E87" s="8" t="str">
        <f>IF($A87="","",IF('Cobertura de Requisitos'!G87&gt;0,"Si","No"))</f>
        <v/>
      </c>
      <c r="F87" s="8" t="str">
        <f>IF($A87="","",IF('Cobertura de Requisitos'!H87&gt;0,"Si","No"))</f>
        <v/>
      </c>
      <c r="G87" s="8"/>
      <c r="H87" s="12" t="str">
        <f>IF($A87="","",'Cobertura de Requisitos'!J87)</f>
        <v/>
      </c>
      <c r="I87" s="8" t="str">
        <f t="shared" si="1"/>
        <v/>
      </c>
      <c r="J87" s="16"/>
    </row>
    <row r="88" ht="15.75" customHeight="1">
      <c r="A88" s="6" t="str">
        <f>IF('Cobertura de Requisitos'!A88="","",'Cobertura de Requisitos'!A88)</f>
        <v/>
      </c>
      <c r="B88" s="9" t="str">
        <f>IF($A88="","",'Cobertura de Requisitos'!B88)</f>
        <v/>
      </c>
      <c r="C88" s="8" t="str">
        <f>IF($A88="","",IF('Cobertura de Requisitos'!E88&gt;0,"Si","No"))</f>
        <v/>
      </c>
      <c r="D88" s="8" t="str">
        <f>IF($A88="","",IF('Cobertura de Requisitos'!F88&gt;0,"Si","No"))</f>
        <v/>
      </c>
      <c r="E88" s="8" t="str">
        <f>IF($A88="","",IF('Cobertura de Requisitos'!G88&gt;0,"Si","No"))</f>
        <v/>
      </c>
      <c r="F88" s="8" t="str">
        <f>IF($A88="","",IF('Cobertura de Requisitos'!H88&gt;0,"Si","No"))</f>
        <v/>
      </c>
      <c r="G88" s="8"/>
      <c r="H88" s="12" t="str">
        <f>IF($A88="","",'Cobertura de Requisitos'!J88)</f>
        <v/>
      </c>
      <c r="I88" s="8" t="str">
        <f t="shared" si="1"/>
        <v/>
      </c>
      <c r="J88" s="16"/>
    </row>
    <row r="89" ht="15.75" customHeight="1">
      <c r="A89" s="6" t="str">
        <f>IF('Cobertura de Requisitos'!A89="","",'Cobertura de Requisitos'!A89)</f>
        <v/>
      </c>
      <c r="B89" s="9" t="str">
        <f>IF($A89="","",'Cobertura de Requisitos'!B89)</f>
        <v/>
      </c>
      <c r="C89" s="8" t="str">
        <f>IF($A89="","",IF('Cobertura de Requisitos'!E89&gt;0,"Si","No"))</f>
        <v/>
      </c>
      <c r="D89" s="8" t="str">
        <f>IF($A89="","",IF('Cobertura de Requisitos'!F89&gt;0,"Si","No"))</f>
        <v/>
      </c>
      <c r="E89" s="8" t="str">
        <f>IF($A89="","",IF('Cobertura de Requisitos'!G89&gt;0,"Si","No"))</f>
        <v/>
      </c>
      <c r="F89" s="8" t="str">
        <f>IF($A89="","",IF('Cobertura de Requisitos'!H89&gt;0,"Si","No"))</f>
        <v/>
      </c>
      <c r="G89" s="8"/>
      <c r="H89" s="12" t="str">
        <f>IF($A89="","",'Cobertura de Requisitos'!J89)</f>
        <v/>
      </c>
      <c r="I89" s="8" t="str">
        <f t="shared" si="1"/>
        <v/>
      </c>
      <c r="J89" s="16"/>
    </row>
    <row r="90" ht="15.75" customHeight="1">
      <c r="A90" s="6" t="str">
        <f>IF('Cobertura de Requisitos'!A90="","",'Cobertura de Requisitos'!A90)</f>
        <v/>
      </c>
      <c r="B90" s="9" t="str">
        <f>IF($A90="","",'Cobertura de Requisitos'!B90)</f>
        <v/>
      </c>
      <c r="C90" s="8" t="str">
        <f>IF($A90="","",IF('Cobertura de Requisitos'!E90&gt;0,"Si","No"))</f>
        <v/>
      </c>
      <c r="D90" s="8" t="str">
        <f>IF($A90="","",IF('Cobertura de Requisitos'!F90&gt;0,"Si","No"))</f>
        <v/>
      </c>
      <c r="E90" s="8" t="str">
        <f>IF($A90="","",IF('Cobertura de Requisitos'!G90&gt;0,"Si","No"))</f>
        <v/>
      </c>
      <c r="F90" s="8" t="str">
        <f>IF($A90="","",IF('Cobertura de Requisitos'!H90&gt;0,"Si","No"))</f>
        <v/>
      </c>
      <c r="G90" s="8"/>
      <c r="H90" s="12" t="str">
        <f>IF($A90="","",'Cobertura de Requisitos'!J90)</f>
        <v/>
      </c>
      <c r="I90" s="8" t="str">
        <f t="shared" si="1"/>
        <v/>
      </c>
      <c r="J90" s="16"/>
    </row>
    <row r="91" ht="15.75" customHeight="1">
      <c r="A91" s="6" t="str">
        <f>IF('Cobertura de Requisitos'!A91="","",'Cobertura de Requisitos'!A91)</f>
        <v/>
      </c>
      <c r="B91" s="9" t="str">
        <f>IF($A91="","",'Cobertura de Requisitos'!B91)</f>
        <v/>
      </c>
      <c r="C91" s="8" t="str">
        <f>IF($A91="","",IF('Cobertura de Requisitos'!E91&gt;0,"Si","No"))</f>
        <v/>
      </c>
      <c r="D91" s="8" t="str">
        <f>IF($A91="","",IF('Cobertura de Requisitos'!F91&gt;0,"Si","No"))</f>
        <v/>
      </c>
      <c r="E91" s="8" t="str">
        <f>IF($A91="","",IF('Cobertura de Requisitos'!G91&gt;0,"Si","No"))</f>
        <v/>
      </c>
      <c r="F91" s="8" t="str">
        <f>IF($A91="","",IF('Cobertura de Requisitos'!H91&gt;0,"Si","No"))</f>
        <v/>
      </c>
      <c r="G91" s="8"/>
      <c r="H91" s="12" t="str">
        <f>IF($A91="","",'Cobertura de Requisitos'!J91)</f>
        <v/>
      </c>
      <c r="I91" s="8" t="str">
        <f t="shared" si="1"/>
        <v/>
      </c>
      <c r="J91" s="16"/>
    </row>
    <row r="92" ht="15.75" customHeight="1">
      <c r="A92" s="6" t="str">
        <f>IF('Cobertura de Requisitos'!A92="","",'Cobertura de Requisitos'!A92)</f>
        <v/>
      </c>
      <c r="B92" s="9" t="str">
        <f>IF($A92="","",'Cobertura de Requisitos'!B92)</f>
        <v/>
      </c>
      <c r="C92" s="8" t="str">
        <f>IF($A92="","",IF('Cobertura de Requisitos'!E92&gt;0,"Si","No"))</f>
        <v/>
      </c>
      <c r="D92" s="8" t="str">
        <f>IF($A92="","",IF('Cobertura de Requisitos'!F92&gt;0,"Si","No"))</f>
        <v/>
      </c>
      <c r="E92" s="8" t="str">
        <f>IF($A92="","",IF('Cobertura de Requisitos'!G92&gt;0,"Si","No"))</f>
        <v/>
      </c>
      <c r="F92" s="8" t="str">
        <f>IF($A92="","",IF('Cobertura de Requisitos'!H92&gt;0,"Si","No"))</f>
        <v/>
      </c>
      <c r="G92" s="8"/>
      <c r="H92" s="12" t="str">
        <f>IF($A92="","",'Cobertura de Requisitos'!J92)</f>
        <v/>
      </c>
      <c r="I92" s="8" t="str">
        <f t="shared" si="1"/>
        <v/>
      </c>
      <c r="J92" s="16"/>
    </row>
    <row r="93" ht="15.75" customHeight="1">
      <c r="A93" s="6" t="str">
        <f>IF('Cobertura de Requisitos'!A93="","",'Cobertura de Requisitos'!A93)</f>
        <v/>
      </c>
      <c r="B93" s="9" t="str">
        <f>IF($A93="","",'Cobertura de Requisitos'!B93)</f>
        <v/>
      </c>
      <c r="C93" s="8" t="str">
        <f>IF($A93="","",IF('Cobertura de Requisitos'!E93&gt;0,"Si","No"))</f>
        <v/>
      </c>
      <c r="D93" s="8" t="str">
        <f>IF($A93="","",IF('Cobertura de Requisitos'!F93&gt;0,"Si","No"))</f>
        <v/>
      </c>
      <c r="E93" s="8" t="str">
        <f>IF($A93="","",IF('Cobertura de Requisitos'!G93&gt;0,"Si","No"))</f>
        <v/>
      </c>
      <c r="F93" s="8" t="str">
        <f>IF($A93="","",IF('Cobertura de Requisitos'!H93&gt;0,"Si","No"))</f>
        <v/>
      </c>
      <c r="G93" s="8"/>
      <c r="H93" s="12" t="str">
        <f>IF($A93="","",'Cobertura de Requisitos'!J93)</f>
        <v/>
      </c>
      <c r="I93" s="8" t="str">
        <f t="shared" si="1"/>
        <v/>
      </c>
      <c r="J93" s="16"/>
    </row>
    <row r="94" ht="15.75" customHeight="1">
      <c r="A94" s="6" t="str">
        <f>IF('Cobertura de Requisitos'!A94="","",'Cobertura de Requisitos'!A94)</f>
        <v/>
      </c>
      <c r="B94" s="9" t="str">
        <f>IF($A94="","",'Cobertura de Requisitos'!B94)</f>
        <v/>
      </c>
      <c r="C94" s="8" t="str">
        <f>IF($A94="","",IF('Cobertura de Requisitos'!E94&gt;0,"Si","No"))</f>
        <v/>
      </c>
      <c r="D94" s="8" t="str">
        <f>IF($A94="","",IF('Cobertura de Requisitos'!F94&gt;0,"Si","No"))</f>
        <v/>
      </c>
      <c r="E94" s="8" t="str">
        <f>IF($A94="","",IF('Cobertura de Requisitos'!G94&gt;0,"Si","No"))</f>
        <v/>
      </c>
      <c r="F94" s="8" t="str">
        <f>IF($A94="","",IF('Cobertura de Requisitos'!H94&gt;0,"Si","No"))</f>
        <v/>
      </c>
      <c r="G94" s="8"/>
      <c r="H94" s="12" t="str">
        <f>IF($A94="","",'Cobertura de Requisitos'!J94)</f>
        <v/>
      </c>
      <c r="I94" s="8" t="str">
        <f t="shared" si="1"/>
        <v/>
      </c>
      <c r="J94" s="16"/>
    </row>
    <row r="95" ht="15.75" customHeight="1">
      <c r="A95" s="6" t="str">
        <f>IF('Cobertura de Requisitos'!A95="","",'Cobertura de Requisitos'!A95)</f>
        <v/>
      </c>
      <c r="B95" s="9" t="str">
        <f>IF($A95="","",'Cobertura de Requisitos'!B95)</f>
        <v/>
      </c>
      <c r="C95" s="8" t="str">
        <f>IF($A95="","",IF('Cobertura de Requisitos'!E95&gt;0,"Si","No"))</f>
        <v/>
      </c>
      <c r="D95" s="8" t="str">
        <f>IF($A95="","",IF('Cobertura de Requisitos'!F95&gt;0,"Si","No"))</f>
        <v/>
      </c>
      <c r="E95" s="8" t="str">
        <f>IF($A95="","",IF('Cobertura de Requisitos'!G95&gt;0,"Si","No"))</f>
        <v/>
      </c>
      <c r="F95" s="8" t="str">
        <f>IF($A95="","",IF('Cobertura de Requisitos'!H95&gt;0,"Si","No"))</f>
        <v/>
      </c>
      <c r="G95" s="8"/>
      <c r="H95" s="12" t="str">
        <f>IF($A95="","",'Cobertura de Requisitos'!J95)</f>
        <v/>
      </c>
      <c r="I95" s="8" t="str">
        <f t="shared" si="1"/>
        <v/>
      </c>
      <c r="J95" s="16"/>
    </row>
    <row r="96" ht="15.75" customHeight="1">
      <c r="A96" s="6" t="str">
        <f>IF('Cobertura de Requisitos'!A96="","",'Cobertura de Requisitos'!A96)</f>
        <v/>
      </c>
      <c r="B96" s="9" t="str">
        <f>IF($A96="","",'Cobertura de Requisitos'!B96)</f>
        <v/>
      </c>
      <c r="C96" s="8" t="str">
        <f>IF($A96="","",IF('Cobertura de Requisitos'!E96&gt;0,"Si","No"))</f>
        <v/>
      </c>
      <c r="D96" s="8" t="str">
        <f>IF($A96="","",IF('Cobertura de Requisitos'!F96&gt;0,"Si","No"))</f>
        <v/>
      </c>
      <c r="E96" s="8" t="str">
        <f>IF($A96="","",IF('Cobertura de Requisitos'!G96&gt;0,"Si","No"))</f>
        <v/>
      </c>
      <c r="F96" s="8" t="str">
        <f>IF($A96="","",IF('Cobertura de Requisitos'!H96&gt;0,"Si","No"))</f>
        <v/>
      </c>
      <c r="G96" s="8"/>
      <c r="H96" s="12" t="str">
        <f>IF($A96="","",'Cobertura de Requisitos'!J96)</f>
        <v/>
      </c>
      <c r="I96" s="8" t="str">
        <f t="shared" si="1"/>
        <v/>
      </c>
      <c r="J96" s="16"/>
    </row>
    <row r="97" ht="15.75" customHeight="1">
      <c r="A97" s="6" t="str">
        <f>IF('Cobertura de Requisitos'!A97="","",'Cobertura de Requisitos'!A97)</f>
        <v/>
      </c>
      <c r="B97" s="9" t="str">
        <f>IF($A97="","",'Cobertura de Requisitos'!B97)</f>
        <v/>
      </c>
      <c r="C97" s="8" t="str">
        <f>IF($A97="","",IF('Cobertura de Requisitos'!E97&gt;0,"Si","No"))</f>
        <v/>
      </c>
      <c r="D97" s="8" t="str">
        <f>IF($A97="","",IF('Cobertura de Requisitos'!F97&gt;0,"Si","No"))</f>
        <v/>
      </c>
      <c r="E97" s="8" t="str">
        <f>IF($A97="","",IF('Cobertura de Requisitos'!G97&gt;0,"Si","No"))</f>
        <v/>
      </c>
      <c r="F97" s="8" t="str">
        <f>IF($A97="","",IF('Cobertura de Requisitos'!H97&gt;0,"Si","No"))</f>
        <v/>
      </c>
      <c r="G97" s="8"/>
      <c r="H97" s="12" t="str">
        <f>IF($A97="","",'Cobertura de Requisitos'!J97)</f>
        <v/>
      </c>
      <c r="I97" s="8" t="str">
        <f t="shared" si="1"/>
        <v/>
      </c>
      <c r="J97" s="16"/>
    </row>
    <row r="98" ht="15.75" customHeight="1">
      <c r="A98" s="6" t="str">
        <f>IF('Cobertura de Requisitos'!A98="","",'Cobertura de Requisitos'!A98)</f>
        <v/>
      </c>
      <c r="B98" s="9" t="str">
        <f>IF($A98="","",'Cobertura de Requisitos'!B98)</f>
        <v/>
      </c>
      <c r="C98" s="8" t="str">
        <f>IF($A98="","",IF('Cobertura de Requisitos'!E98&gt;0,"Si","No"))</f>
        <v/>
      </c>
      <c r="D98" s="8" t="str">
        <f>IF($A98="","",IF('Cobertura de Requisitos'!F98&gt;0,"Si","No"))</f>
        <v/>
      </c>
      <c r="E98" s="8" t="str">
        <f>IF($A98="","",IF('Cobertura de Requisitos'!G98&gt;0,"Si","No"))</f>
        <v/>
      </c>
      <c r="F98" s="8" t="str">
        <f>IF($A98="","",IF('Cobertura de Requisitos'!H98&gt;0,"Si","No"))</f>
        <v/>
      </c>
      <c r="G98" s="8"/>
      <c r="H98" s="12" t="str">
        <f>IF($A98="","",'Cobertura de Requisitos'!J98)</f>
        <v/>
      </c>
      <c r="I98" s="8" t="str">
        <f t="shared" si="1"/>
        <v/>
      </c>
      <c r="J98" s="16"/>
    </row>
    <row r="99" ht="15.75" customHeight="1">
      <c r="A99" s="6" t="str">
        <f>IF('Cobertura de Requisitos'!A99="","",'Cobertura de Requisitos'!A99)</f>
        <v/>
      </c>
      <c r="B99" s="9" t="str">
        <f>IF($A99="","",'Cobertura de Requisitos'!B99)</f>
        <v/>
      </c>
      <c r="C99" s="8" t="str">
        <f>IF($A99="","",IF('Cobertura de Requisitos'!E99&gt;0,"Si","No"))</f>
        <v/>
      </c>
      <c r="D99" s="8" t="str">
        <f>IF($A99="","",IF('Cobertura de Requisitos'!F99&gt;0,"Si","No"))</f>
        <v/>
      </c>
      <c r="E99" s="8" t="str">
        <f>IF($A99="","",IF('Cobertura de Requisitos'!G99&gt;0,"Si","No"))</f>
        <v/>
      </c>
      <c r="F99" s="8" t="str">
        <f>IF($A99="","",IF('Cobertura de Requisitos'!H99&gt;0,"Si","No"))</f>
        <v/>
      </c>
      <c r="G99" s="8"/>
      <c r="H99" s="12" t="str">
        <f>IF($A99="","",'Cobertura de Requisitos'!J99)</f>
        <v/>
      </c>
      <c r="I99" s="8" t="str">
        <f t="shared" si="1"/>
        <v/>
      </c>
      <c r="J99" s="16"/>
    </row>
    <row r="100" ht="15.75" customHeight="1">
      <c r="A100" s="6" t="str">
        <f>IF('Cobertura de Requisitos'!A100="","",'Cobertura de Requisitos'!A100)</f>
        <v/>
      </c>
      <c r="B100" s="9" t="str">
        <f>IF($A100="","",'Cobertura de Requisitos'!B100)</f>
        <v/>
      </c>
      <c r="C100" s="8" t="str">
        <f>IF($A100="","",IF('Cobertura de Requisitos'!E100&gt;0,"Si","No"))</f>
        <v/>
      </c>
      <c r="D100" s="8" t="str">
        <f>IF($A100="","",IF('Cobertura de Requisitos'!F100&gt;0,"Si","No"))</f>
        <v/>
      </c>
      <c r="E100" s="8" t="str">
        <f>IF($A100="","",IF('Cobertura de Requisitos'!G100&gt;0,"Si","No"))</f>
        <v/>
      </c>
      <c r="F100" s="8" t="str">
        <f>IF($A100="","",IF('Cobertura de Requisitos'!H100&gt;0,"Si","No"))</f>
        <v/>
      </c>
      <c r="G100" s="8"/>
      <c r="H100" s="12" t="str">
        <f>IF($A100="","",'Cobertura de Requisitos'!J100)</f>
        <v/>
      </c>
      <c r="I100" s="8" t="str">
        <f t="shared" si="1"/>
        <v/>
      </c>
      <c r="J100" s="16"/>
    </row>
    <row r="101" ht="15.75" customHeight="1">
      <c r="A101" s="6" t="str">
        <f>IF('Cobertura de Requisitos'!A101="","",'Cobertura de Requisitos'!A101)</f>
        <v/>
      </c>
      <c r="B101" s="9" t="str">
        <f>IF($A101="","",'Cobertura de Requisitos'!B101)</f>
        <v/>
      </c>
      <c r="C101" s="8" t="str">
        <f>IF($A101="","",IF('Cobertura de Requisitos'!E101&gt;0,"Si","No"))</f>
        <v/>
      </c>
      <c r="D101" s="8" t="str">
        <f>IF($A101="","",IF('Cobertura de Requisitos'!F101&gt;0,"Si","No"))</f>
        <v/>
      </c>
      <c r="E101" s="8" t="str">
        <f>IF($A101="","",IF('Cobertura de Requisitos'!G101&gt;0,"Si","No"))</f>
        <v/>
      </c>
      <c r="F101" s="8" t="str">
        <f>IF($A101="","",IF('Cobertura de Requisitos'!H101&gt;0,"Si","No"))</f>
        <v/>
      </c>
      <c r="G101" s="8"/>
      <c r="H101" s="12" t="str">
        <f>IF($A101="","",'Cobertura de Requisitos'!J101)</f>
        <v/>
      </c>
      <c r="I101" s="8" t="str">
        <f t="shared" si="1"/>
        <v/>
      </c>
      <c r="J101" s="16"/>
    </row>
    <row r="102" ht="15.75" customHeight="1">
      <c r="A102" s="6" t="str">
        <f>IF('Cobertura de Requisitos'!A102="","",'Cobertura de Requisitos'!A102)</f>
        <v/>
      </c>
      <c r="B102" s="9" t="str">
        <f>IF($A102="","",'Cobertura de Requisitos'!B102)</f>
        <v/>
      </c>
      <c r="C102" s="8" t="str">
        <f>IF($A102="","",IF('Cobertura de Requisitos'!E102&gt;0,"Si","No"))</f>
        <v/>
      </c>
      <c r="D102" s="8" t="str">
        <f>IF($A102="","",IF('Cobertura de Requisitos'!F102&gt;0,"Si","No"))</f>
        <v/>
      </c>
      <c r="E102" s="8" t="str">
        <f>IF($A102="","",IF('Cobertura de Requisitos'!G102&gt;0,"Si","No"))</f>
        <v/>
      </c>
      <c r="F102" s="8" t="str">
        <f>IF($A102="","",IF('Cobertura de Requisitos'!H102&gt;0,"Si","No"))</f>
        <v/>
      </c>
      <c r="G102" s="8"/>
      <c r="H102" s="12" t="str">
        <f>IF($A102="","",'Cobertura de Requisitos'!J102)</f>
        <v/>
      </c>
      <c r="I102" s="8" t="str">
        <f t="shared" si="1"/>
        <v/>
      </c>
      <c r="J102" s="16"/>
    </row>
    <row r="103" ht="15.75" customHeight="1">
      <c r="A103" s="6" t="str">
        <f>IF('Cobertura de Requisitos'!A103="","",'Cobertura de Requisitos'!A103)</f>
        <v/>
      </c>
      <c r="B103" s="9" t="str">
        <f>IF($A103="","",'Cobertura de Requisitos'!B103)</f>
        <v/>
      </c>
      <c r="C103" s="8" t="str">
        <f>IF($A103="","",IF('Cobertura de Requisitos'!E103&gt;0,"Si","No"))</f>
        <v/>
      </c>
      <c r="D103" s="8" t="str">
        <f>IF($A103="","",IF('Cobertura de Requisitos'!F103&gt;0,"Si","No"))</f>
        <v/>
      </c>
      <c r="E103" s="8" t="str">
        <f>IF($A103="","",IF('Cobertura de Requisitos'!G103&gt;0,"Si","No"))</f>
        <v/>
      </c>
      <c r="F103" s="8" t="str">
        <f>IF($A103="","",IF('Cobertura de Requisitos'!H103&gt;0,"Si","No"))</f>
        <v/>
      </c>
      <c r="G103" s="8"/>
      <c r="H103" s="12" t="str">
        <f>IF($A103="","",'Cobertura de Requisitos'!J103)</f>
        <v/>
      </c>
      <c r="I103" s="8" t="str">
        <f t="shared" si="1"/>
        <v/>
      </c>
      <c r="J103" s="16"/>
    </row>
    <row r="104" ht="15.75" customHeight="1">
      <c r="A104" s="6" t="str">
        <f>IF('Cobertura de Requisitos'!A104="","",'Cobertura de Requisitos'!A104)</f>
        <v/>
      </c>
      <c r="B104" s="9" t="str">
        <f>IF($A104="","",'Cobertura de Requisitos'!B104)</f>
        <v/>
      </c>
      <c r="C104" s="8" t="str">
        <f>IF($A104="","",IF('Cobertura de Requisitos'!E104&gt;0,"Si","No"))</f>
        <v/>
      </c>
      <c r="D104" s="8" t="str">
        <f>IF($A104="","",IF('Cobertura de Requisitos'!F104&gt;0,"Si","No"))</f>
        <v/>
      </c>
      <c r="E104" s="8" t="str">
        <f>IF($A104="","",IF('Cobertura de Requisitos'!G104&gt;0,"Si","No"))</f>
        <v/>
      </c>
      <c r="F104" s="8" t="str">
        <f>IF($A104="","",IF('Cobertura de Requisitos'!H104&gt;0,"Si","No"))</f>
        <v/>
      </c>
      <c r="G104" s="8"/>
      <c r="H104" s="12" t="str">
        <f>IF($A104="","",'Cobertura de Requisitos'!J104)</f>
        <v/>
      </c>
      <c r="I104" s="8" t="str">
        <f t="shared" si="1"/>
        <v/>
      </c>
      <c r="J104" s="16"/>
    </row>
    <row r="105" ht="15.75" customHeight="1">
      <c r="A105" s="6" t="str">
        <f>IF('Cobertura de Requisitos'!A105="","",'Cobertura de Requisitos'!A105)</f>
        <v/>
      </c>
      <c r="B105" s="9" t="str">
        <f>IF($A105="","",'Cobertura de Requisitos'!B105)</f>
        <v/>
      </c>
      <c r="C105" s="8" t="str">
        <f>IF($A105="","",IF('Cobertura de Requisitos'!E105&gt;0,"Si","No"))</f>
        <v/>
      </c>
      <c r="D105" s="8" t="str">
        <f>IF($A105="","",IF('Cobertura de Requisitos'!F105&gt;0,"Si","No"))</f>
        <v/>
      </c>
      <c r="E105" s="8" t="str">
        <f>IF($A105="","",IF('Cobertura de Requisitos'!G105&gt;0,"Si","No"))</f>
        <v/>
      </c>
      <c r="F105" s="8" t="str">
        <f>IF($A105="","",IF('Cobertura de Requisitos'!H105&gt;0,"Si","No"))</f>
        <v/>
      </c>
      <c r="G105" s="8"/>
      <c r="H105" s="12" t="str">
        <f>IF($A105="","",'Cobertura de Requisitos'!J105)</f>
        <v/>
      </c>
      <c r="I105" s="8" t="str">
        <f t="shared" si="1"/>
        <v/>
      </c>
      <c r="J105" s="16"/>
    </row>
    <row r="106" ht="15.75" customHeight="1">
      <c r="A106" s="6" t="str">
        <f>IF('Cobertura de Requisitos'!A106="","",'Cobertura de Requisitos'!A106)</f>
        <v/>
      </c>
      <c r="B106" s="9" t="str">
        <f>IF($A106="","",'Cobertura de Requisitos'!B106)</f>
        <v/>
      </c>
      <c r="C106" s="8" t="str">
        <f>IF($A106="","",IF('Cobertura de Requisitos'!E106&gt;0,"Si","No"))</f>
        <v/>
      </c>
      <c r="D106" s="8" t="str">
        <f>IF($A106="","",IF('Cobertura de Requisitos'!F106&gt;0,"Si","No"))</f>
        <v/>
      </c>
      <c r="E106" s="8" t="str">
        <f>IF($A106="","",IF('Cobertura de Requisitos'!G106&gt;0,"Si","No"))</f>
        <v/>
      </c>
      <c r="F106" s="8" t="str">
        <f>IF($A106="","",IF('Cobertura de Requisitos'!H106&gt;0,"Si","No"))</f>
        <v/>
      </c>
      <c r="G106" s="8"/>
      <c r="H106" s="12" t="str">
        <f>IF($A106="","",'Cobertura de Requisitos'!J106)</f>
        <v/>
      </c>
      <c r="I106" s="8" t="str">
        <f t="shared" si="1"/>
        <v/>
      </c>
      <c r="J106" s="16"/>
    </row>
    <row r="107" ht="15.75" customHeight="1">
      <c r="A107" s="6" t="str">
        <f>IF('Cobertura de Requisitos'!A107="","",'Cobertura de Requisitos'!A107)</f>
        <v/>
      </c>
      <c r="B107" s="9" t="str">
        <f>IF($A107="","",'Cobertura de Requisitos'!B107)</f>
        <v/>
      </c>
      <c r="C107" s="8" t="str">
        <f>IF($A107="","",IF('Cobertura de Requisitos'!E107&gt;0,"Si","No"))</f>
        <v/>
      </c>
      <c r="D107" s="8" t="str">
        <f>IF($A107="","",IF('Cobertura de Requisitos'!F107&gt;0,"Si","No"))</f>
        <v/>
      </c>
      <c r="E107" s="8" t="str">
        <f>IF($A107="","",IF('Cobertura de Requisitos'!G107&gt;0,"Si","No"))</f>
        <v/>
      </c>
      <c r="F107" s="8" t="str">
        <f>IF($A107="","",IF('Cobertura de Requisitos'!H107&gt;0,"Si","No"))</f>
        <v/>
      </c>
      <c r="G107" s="8"/>
      <c r="H107" s="12" t="str">
        <f>IF($A107="","",'Cobertura de Requisitos'!J107)</f>
        <v/>
      </c>
      <c r="I107" s="8" t="str">
        <f t="shared" si="1"/>
        <v/>
      </c>
      <c r="J107" s="16"/>
    </row>
    <row r="108" ht="15.75" customHeight="1">
      <c r="A108" s="6" t="str">
        <f>IF('Cobertura de Requisitos'!A108="","",'Cobertura de Requisitos'!A108)</f>
        <v/>
      </c>
      <c r="B108" s="9" t="str">
        <f>IF($A108="","",'Cobertura de Requisitos'!B108)</f>
        <v/>
      </c>
      <c r="C108" s="8" t="str">
        <f>IF($A108="","",IF('Cobertura de Requisitos'!E108&gt;0,"Si","No"))</f>
        <v/>
      </c>
      <c r="D108" s="8" t="str">
        <f>IF($A108="","",IF('Cobertura de Requisitos'!F108&gt;0,"Si","No"))</f>
        <v/>
      </c>
      <c r="E108" s="8" t="str">
        <f>IF($A108="","",IF('Cobertura de Requisitos'!G108&gt;0,"Si","No"))</f>
        <v/>
      </c>
      <c r="F108" s="8" t="str">
        <f>IF($A108="","",IF('Cobertura de Requisitos'!H108&gt;0,"Si","No"))</f>
        <v/>
      </c>
      <c r="G108" s="8"/>
      <c r="H108" s="12" t="str">
        <f>IF($A108="","",'Cobertura de Requisitos'!J108)</f>
        <v/>
      </c>
      <c r="I108" s="8" t="str">
        <f t="shared" si="1"/>
        <v/>
      </c>
      <c r="J108" s="16"/>
    </row>
    <row r="109" ht="15.75" customHeight="1">
      <c r="A109" s="6" t="str">
        <f>IF('Cobertura de Requisitos'!A109="","",'Cobertura de Requisitos'!A109)</f>
        <v/>
      </c>
      <c r="B109" s="9" t="str">
        <f>IF($A109="","",'Cobertura de Requisitos'!B109)</f>
        <v/>
      </c>
      <c r="C109" s="8" t="str">
        <f>IF($A109="","",IF('Cobertura de Requisitos'!E109&gt;0,"Si","No"))</f>
        <v/>
      </c>
      <c r="D109" s="8" t="str">
        <f>IF($A109="","",IF('Cobertura de Requisitos'!F109&gt;0,"Si","No"))</f>
        <v/>
      </c>
      <c r="E109" s="8" t="str">
        <f>IF($A109="","",IF('Cobertura de Requisitos'!G109&gt;0,"Si","No"))</f>
        <v/>
      </c>
      <c r="F109" s="8" t="str">
        <f>IF($A109="","",IF('Cobertura de Requisitos'!H109&gt;0,"Si","No"))</f>
        <v/>
      </c>
      <c r="G109" s="8"/>
      <c r="H109" s="12" t="str">
        <f>IF($A109="","",'Cobertura de Requisitos'!J109)</f>
        <v/>
      </c>
      <c r="I109" s="8" t="str">
        <f t="shared" si="1"/>
        <v/>
      </c>
      <c r="J109" s="16"/>
    </row>
    <row r="110" ht="15.75" customHeight="1">
      <c r="A110" s="6" t="str">
        <f>IF('Cobertura de Requisitos'!A110="","",'Cobertura de Requisitos'!A110)</f>
        <v/>
      </c>
      <c r="B110" s="9" t="str">
        <f>IF($A110="","",'Cobertura de Requisitos'!B110)</f>
        <v/>
      </c>
      <c r="C110" s="8" t="str">
        <f>IF($A110="","",IF('Cobertura de Requisitos'!E110&gt;0,"Si","No"))</f>
        <v/>
      </c>
      <c r="D110" s="8" t="str">
        <f>IF($A110="","",IF('Cobertura de Requisitos'!F110&gt;0,"Si","No"))</f>
        <v/>
      </c>
      <c r="E110" s="8" t="str">
        <f>IF($A110="","",IF('Cobertura de Requisitos'!G110&gt;0,"Si","No"))</f>
        <v/>
      </c>
      <c r="F110" s="8" t="str">
        <f>IF($A110="","",IF('Cobertura de Requisitos'!H110&gt;0,"Si","No"))</f>
        <v/>
      </c>
      <c r="G110" s="8"/>
      <c r="H110" s="12" t="str">
        <f>IF($A110="","",'Cobertura de Requisitos'!J110)</f>
        <v/>
      </c>
      <c r="I110" s="8" t="str">
        <f t="shared" si="1"/>
        <v/>
      </c>
      <c r="J110" s="16"/>
    </row>
    <row r="111" ht="15.75" customHeight="1">
      <c r="A111" s="6" t="str">
        <f>IF('Cobertura de Requisitos'!A111="","",'Cobertura de Requisitos'!A111)</f>
        <v/>
      </c>
      <c r="B111" s="9" t="str">
        <f>IF($A111="","",'Cobertura de Requisitos'!B111)</f>
        <v/>
      </c>
      <c r="C111" s="8" t="str">
        <f>IF($A111="","",IF('Cobertura de Requisitos'!E111&gt;0,"Si","No"))</f>
        <v/>
      </c>
      <c r="D111" s="8" t="str">
        <f>IF($A111="","",IF('Cobertura de Requisitos'!F111&gt;0,"Si","No"))</f>
        <v/>
      </c>
      <c r="E111" s="8" t="str">
        <f>IF($A111="","",IF('Cobertura de Requisitos'!G111&gt;0,"Si","No"))</f>
        <v/>
      </c>
      <c r="F111" s="8" t="str">
        <f>IF($A111="","",IF('Cobertura de Requisitos'!H111&gt;0,"Si","No"))</f>
        <v/>
      </c>
      <c r="G111" s="8"/>
      <c r="H111" s="12" t="str">
        <f>IF($A111="","",'Cobertura de Requisitos'!J111)</f>
        <v/>
      </c>
      <c r="I111" s="8" t="str">
        <f t="shared" si="1"/>
        <v/>
      </c>
      <c r="J111" s="16"/>
    </row>
    <row r="112" ht="15.75" customHeight="1">
      <c r="A112" s="6" t="str">
        <f>IF('Cobertura de Requisitos'!A112="","",'Cobertura de Requisitos'!A112)</f>
        <v/>
      </c>
      <c r="B112" s="9" t="str">
        <f>IF($A112="","",'Cobertura de Requisitos'!B112)</f>
        <v/>
      </c>
      <c r="C112" s="8" t="str">
        <f>IF($A112="","",IF('Cobertura de Requisitos'!E112&gt;0,"Si","No"))</f>
        <v/>
      </c>
      <c r="D112" s="8" t="str">
        <f>IF($A112="","",IF('Cobertura de Requisitos'!F112&gt;0,"Si","No"))</f>
        <v/>
      </c>
      <c r="E112" s="8" t="str">
        <f>IF($A112="","",IF('Cobertura de Requisitos'!G112&gt;0,"Si","No"))</f>
        <v/>
      </c>
      <c r="F112" s="8" t="str">
        <f>IF($A112="","",IF('Cobertura de Requisitos'!H112&gt;0,"Si","No"))</f>
        <v/>
      </c>
      <c r="G112" s="8"/>
      <c r="H112" s="12" t="str">
        <f>IF($A112="","",'Cobertura de Requisitos'!J112)</f>
        <v/>
      </c>
      <c r="I112" s="8" t="str">
        <f t="shared" si="1"/>
        <v/>
      </c>
      <c r="J112" s="16"/>
    </row>
    <row r="113" ht="15.75" customHeight="1">
      <c r="A113" s="6" t="str">
        <f>IF('Cobertura de Requisitos'!A113="","",'Cobertura de Requisitos'!A113)</f>
        <v/>
      </c>
      <c r="B113" s="9" t="str">
        <f>IF($A113="","",'Cobertura de Requisitos'!B113)</f>
        <v/>
      </c>
      <c r="C113" s="8" t="str">
        <f>IF($A113="","",IF('Cobertura de Requisitos'!E113&gt;0,"Si","No"))</f>
        <v/>
      </c>
      <c r="D113" s="8" t="str">
        <f>IF($A113="","",IF('Cobertura de Requisitos'!F113&gt;0,"Si","No"))</f>
        <v/>
      </c>
      <c r="E113" s="8" t="str">
        <f>IF($A113="","",IF('Cobertura de Requisitos'!G113&gt;0,"Si","No"))</f>
        <v/>
      </c>
      <c r="F113" s="8" t="str">
        <f>IF($A113="","",IF('Cobertura de Requisitos'!H113&gt;0,"Si","No"))</f>
        <v/>
      </c>
      <c r="G113" s="8"/>
      <c r="H113" s="12" t="str">
        <f>IF($A113="","",'Cobertura de Requisitos'!J113)</f>
        <v/>
      </c>
      <c r="I113" s="8" t="str">
        <f t="shared" si="1"/>
        <v/>
      </c>
      <c r="J113" s="16"/>
    </row>
    <row r="114" ht="15.75" customHeight="1">
      <c r="A114" s="6" t="str">
        <f>IF('Cobertura de Requisitos'!A114="","",'Cobertura de Requisitos'!A114)</f>
        <v/>
      </c>
      <c r="B114" s="9" t="str">
        <f>IF($A114="","",'Cobertura de Requisitos'!B114)</f>
        <v/>
      </c>
      <c r="C114" s="8" t="str">
        <f>IF($A114="","",IF('Cobertura de Requisitos'!E114&gt;0,"Si","No"))</f>
        <v/>
      </c>
      <c r="D114" s="8" t="str">
        <f>IF($A114="","",IF('Cobertura de Requisitos'!F114&gt;0,"Si","No"))</f>
        <v/>
      </c>
      <c r="E114" s="8" t="str">
        <f>IF($A114="","",IF('Cobertura de Requisitos'!G114&gt;0,"Si","No"))</f>
        <v/>
      </c>
      <c r="F114" s="8" t="str">
        <f>IF($A114="","",IF('Cobertura de Requisitos'!H114&gt;0,"Si","No"))</f>
        <v/>
      </c>
      <c r="G114" s="8"/>
      <c r="H114" s="12" t="str">
        <f>IF($A114="","",'Cobertura de Requisitos'!J114)</f>
        <v/>
      </c>
      <c r="I114" s="8" t="str">
        <f t="shared" si="1"/>
        <v/>
      </c>
      <c r="J114" s="16"/>
    </row>
    <row r="115" ht="15.75" customHeight="1">
      <c r="A115" s="6" t="str">
        <f>IF('Cobertura de Requisitos'!A115="","",'Cobertura de Requisitos'!A115)</f>
        <v/>
      </c>
      <c r="B115" s="9" t="str">
        <f>IF($A115="","",'Cobertura de Requisitos'!B115)</f>
        <v/>
      </c>
      <c r="C115" s="8" t="str">
        <f>IF($A115="","",IF('Cobertura de Requisitos'!E115&gt;0,"Si","No"))</f>
        <v/>
      </c>
      <c r="D115" s="8" t="str">
        <f>IF($A115="","",IF('Cobertura de Requisitos'!F115&gt;0,"Si","No"))</f>
        <v/>
      </c>
      <c r="E115" s="8" t="str">
        <f>IF($A115="","",IF('Cobertura de Requisitos'!G115&gt;0,"Si","No"))</f>
        <v/>
      </c>
      <c r="F115" s="8" t="str">
        <f>IF($A115="","",IF('Cobertura de Requisitos'!H115&gt;0,"Si","No"))</f>
        <v/>
      </c>
      <c r="G115" s="8"/>
      <c r="H115" s="12" t="str">
        <f>IF($A115="","",'Cobertura de Requisitos'!J115)</f>
        <v/>
      </c>
      <c r="I115" s="8" t="str">
        <f t="shared" si="1"/>
        <v/>
      </c>
      <c r="J115" s="16"/>
    </row>
    <row r="116" ht="15.75" customHeight="1">
      <c r="A116" s="6" t="str">
        <f>IF('Cobertura de Requisitos'!A116="","",'Cobertura de Requisitos'!A116)</f>
        <v/>
      </c>
      <c r="B116" s="9" t="str">
        <f>IF($A116="","",'Cobertura de Requisitos'!B116)</f>
        <v/>
      </c>
      <c r="C116" s="8" t="str">
        <f>IF($A116="","",IF('Cobertura de Requisitos'!E116&gt;0,"Si","No"))</f>
        <v/>
      </c>
      <c r="D116" s="8" t="str">
        <f>IF($A116="","",IF('Cobertura de Requisitos'!F116&gt;0,"Si","No"))</f>
        <v/>
      </c>
      <c r="E116" s="8" t="str">
        <f>IF($A116="","",IF('Cobertura de Requisitos'!G116&gt;0,"Si","No"))</f>
        <v/>
      </c>
      <c r="F116" s="8" t="str">
        <f>IF($A116="","",IF('Cobertura de Requisitos'!H116&gt;0,"Si","No"))</f>
        <v/>
      </c>
      <c r="G116" s="8"/>
      <c r="H116" s="12" t="str">
        <f>IF($A116="","",'Cobertura de Requisitos'!J116)</f>
        <v/>
      </c>
      <c r="I116" s="8" t="str">
        <f t="shared" si="1"/>
        <v/>
      </c>
      <c r="J116" s="16"/>
    </row>
    <row r="117" ht="15.75" customHeight="1">
      <c r="A117" s="6" t="str">
        <f>IF('Cobertura de Requisitos'!A117="","",'Cobertura de Requisitos'!A117)</f>
        <v/>
      </c>
      <c r="B117" s="9" t="str">
        <f>IF($A117="","",'Cobertura de Requisitos'!B117)</f>
        <v/>
      </c>
      <c r="C117" s="8" t="str">
        <f>IF($A117="","",IF('Cobertura de Requisitos'!E117&gt;0,"Si","No"))</f>
        <v/>
      </c>
      <c r="D117" s="8" t="str">
        <f>IF($A117="","",IF('Cobertura de Requisitos'!F117&gt;0,"Si","No"))</f>
        <v/>
      </c>
      <c r="E117" s="8" t="str">
        <f>IF($A117="","",IF('Cobertura de Requisitos'!G117&gt;0,"Si","No"))</f>
        <v/>
      </c>
      <c r="F117" s="8" t="str">
        <f>IF($A117="","",IF('Cobertura de Requisitos'!H117&gt;0,"Si","No"))</f>
        <v/>
      </c>
      <c r="G117" s="8"/>
      <c r="H117" s="12" t="str">
        <f>IF($A117="","",'Cobertura de Requisitos'!J117)</f>
        <v/>
      </c>
      <c r="I117" s="8" t="str">
        <f t="shared" si="1"/>
        <v/>
      </c>
      <c r="J117" s="16"/>
    </row>
    <row r="118" ht="15.75" customHeight="1">
      <c r="A118" s="6" t="str">
        <f>IF('Cobertura de Requisitos'!A118="","",'Cobertura de Requisitos'!A118)</f>
        <v/>
      </c>
      <c r="B118" s="9" t="str">
        <f>IF($A118="","",'Cobertura de Requisitos'!B118)</f>
        <v/>
      </c>
      <c r="C118" s="8" t="str">
        <f>IF($A118="","",IF('Cobertura de Requisitos'!E118&gt;0,"Si","No"))</f>
        <v/>
      </c>
      <c r="D118" s="8" t="str">
        <f>IF($A118="","",IF('Cobertura de Requisitos'!F118&gt;0,"Si","No"))</f>
        <v/>
      </c>
      <c r="E118" s="8" t="str">
        <f>IF($A118="","",IF('Cobertura de Requisitos'!G118&gt;0,"Si","No"))</f>
        <v/>
      </c>
      <c r="F118" s="8" t="str">
        <f>IF($A118="","",IF('Cobertura de Requisitos'!H118&gt;0,"Si","No"))</f>
        <v/>
      </c>
      <c r="G118" s="8"/>
      <c r="H118" s="12" t="str">
        <f>IF($A118="","",'Cobertura de Requisitos'!J118)</f>
        <v/>
      </c>
      <c r="I118" s="8" t="str">
        <f t="shared" si="1"/>
        <v/>
      </c>
      <c r="J118" s="16"/>
    </row>
    <row r="119" ht="15.75" customHeight="1">
      <c r="A119" s="6" t="str">
        <f>IF('Cobertura de Requisitos'!A119="","",'Cobertura de Requisitos'!A119)</f>
        <v/>
      </c>
      <c r="B119" s="9" t="str">
        <f>IF($A119="","",'Cobertura de Requisitos'!B119)</f>
        <v/>
      </c>
      <c r="C119" s="8" t="str">
        <f>IF($A119="","",IF('Cobertura de Requisitos'!E119&gt;0,"Si","No"))</f>
        <v/>
      </c>
      <c r="D119" s="8" t="str">
        <f>IF($A119="","",IF('Cobertura de Requisitos'!F119&gt;0,"Si","No"))</f>
        <v/>
      </c>
      <c r="E119" s="8" t="str">
        <f>IF($A119="","",IF('Cobertura de Requisitos'!G119&gt;0,"Si","No"))</f>
        <v/>
      </c>
      <c r="F119" s="8" t="str">
        <f>IF($A119="","",IF('Cobertura de Requisitos'!H119&gt;0,"Si","No"))</f>
        <v/>
      </c>
      <c r="G119" s="8"/>
      <c r="H119" s="12" t="str">
        <f>IF($A119="","",'Cobertura de Requisitos'!J119)</f>
        <v/>
      </c>
      <c r="I119" s="8" t="str">
        <f t="shared" si="1"/>
        <v/>
      </c>
      <c r="J119" s="16"/>
    </row>
    <row r="120" ht="15.75" customHeight="1">
      <c r="A120" s="6" t="str">
        <f>IF('Cobertura de Requisitos'!A120="","",'Cobertura de Requisitos'!A120)</f>
        <v/>
      </c>
      <c r="B120" s="9" t="str">
        <f>IF($A120="","",'Cobertura de Requisitos'!B120)</f>
        <v/>
      </c>
      <c r="C120" s="8" t="str">
        <f>IF($A120="","",IF('Cobertura de Requisitos'!E120&gt;0,"Si","No"))</f>
        <v/>
      </c>
      <c r="D120" s="8" t="str">
        <f>IF($A120="","",IF('Cobertura de Requisitos'!F120&gt;0,"Si","No"))</f>
        <v/>
      </c>
      <c r="E120" s="8" t="str">
        <f>IF($A120="","",IF('Cobertura de Requisitos'!G120&gt;0,"Si","No"))</f>
        <v/>
      </c>
      <c r="F120" s="8" t="str">
        <f>IF($A120="","",IF('Cobertura de Requisitos'!H120&gt;0,"Si","No"))</f>
        <v/>
      </c>
      <c r="G120" s="8"/>
      <c r="H120" s="12" t="str">
        <f>IF($A120="","",'Cobertura de Requisitos'!J120)</f>
        <v/>
      </c>
      <c r="I120" s="8" t="str">
        <f t="shared" si="1"/>
        <v/>
      </c>
      <c r="J120" s="16"/>
    </row>
    <row r="121" ht="15.75" customHeight="1">
      <c r="A121" s="6" t="str">
        <f>IF('Cobertura de Requisitos'!A121="","",'Cobertura de Requisitos'!A121)</f>
        <v/>
      </c>
      <c r="B121" s="9" t="str">
        <f>IF($A121="","",'Cobertura de Requisitos'!B121)</f>
        <v/>
      </c>
      <c r="C121" s="8" t="str">
        <f>IF($A121="","",IF('Cobertura de Requisitos'!E121&gt;0,"Si","No"))</f>
        <v/>
      </c>
      <c r="D121" s="8" t="str">
        <f>IF($A121="","",IF('Cobertura de Requisitos'!F121&gt;0,"Si","No"))</f>
        <v/>
      </c>
      <c r="E121" s="8" t="str">
        <f>IF($A121="","",IF('Cobertura de Requisitos'!G121&gt;0,"Si","No"))</f>
        <v/>
      </c>
      <c r="F121" s="8" t="str">
        <f>IF($A121="","",IF('Cobertura de Requisitos'!H121&gt;0,"Si","No"))</f>
        <v/>
      </c>
      <c r="G121" s="8"/>
      <c r="H121" s="12" t="str">
        <f>IF($A121="","",'Cobertura de Requisitos'!J121)</f>
        <v/>
      </c>
      <c r="I121" s="8" t="str">
        <f t="shared" si="1"/>
        <v/>
      </c>
      <c r="J121" s="16"/>
    </row>
    <row r="122" ht="15.75" customHeight="1">
      <c r="A122" s="6" t="str">
        <f>IF('Cobertura de Requisitos'!A122="","",'Cobertura de Requisitos'!A122)</f>
        <v/>
      </c>
      <c r="B122" s="9" t="str">
        <f>IF($A122="","",'Cobertura de Requisitos'!B122)</f>
        <v/>
      </c>
      <c r="C122" s="8" t="str">
        <f>IF($A122="","",IF('Cobertura de Requisitos'!E122&gt;0,"Si","No"))</f>
        <v/>
      </c>
      <c r="D122" s="8" t="str">
        <f>IF($A122="","",IF('Cobertura de Requisitos'!F122&gt;0,"Si","No"))</f>
        <v/>
      </c>
      <c r="E122" s="8" t="str">
        <f>IF($A122="","",IF('Cobertura de Requisitos'!G122&gt;0,"Si","No"))</f>
        <v/>
      </c>
      <c r="F122" s="8" t="str">
        <f>IF($A122="","",IF('Cobertura de Requisitos'!H122&gt;0,"Si","No"))</f>
        <v/>
      </c>
      <c r="G122" s="8"/>
      <c r="H122" s="12" t="str">
        <f>IF($A122="","",'Cobertura de Requisitos'!J122)</f>
        <v/>
      </c>
      <c r="I122" s="8" t="str">
        <f t="shared" si="1"/>
        <v/>
      </c>
      <c r="J122" s="16"/>
    </row>
    <row r="123" ht="15.75" customHeight="1">
      <c r="A123" s="6" t="str">
        <f>IF('Cobertura de Requisitos'!A123="","",'Cobertura de Requisitos'!A123)</f>
        <v/>
      </c>
      <c r="B123" s="9" t="str">
        <f>IF($A123="","",'Cobertura de Requisitos'!B123)</f>
        <v/>
      </c>
      <c r="C123" s="8" t="str">
        <f>IF($A123="","",IF('Cobertura de Requisitos'!E123&gt;0,"Si","No"))</f>
        <v/>
      </c>
      <c r="D123" s="8" t="str">
        <f>IF($A123="","",IF('Cobertura de Requisitos'!F123&gt;0,"Si","No"))</f>
        <v/>
      </c>
      <c r="E123" s="8" t="str">
        <f>IF($A123="","",IF('Cobertura de Requisitos'!G123&gt;0,"Si","No"))</f>
        <v/>
      </c>
      <c r="F123" s="8" t="str">
        <f>IF($A123="","",IF('Cobertura de Requisitos'!H123&gt;0,"Si","No"))</f>
        <v/>
      </c>
      <c r="G123" s="8"/>
      <c r="H123" s="12" t="str">
        <f>IF($A123="","",'Cobertura de Requisitos'!J123)</f>
        <v/>
      </c>
      <c r="I123" s="8" t="str">
        <f t="shared" si="1"/>
        <v/>
      </c>
      <c r="J123" s="16"/>
    </row>
    <row r="124" ht="15.75" customHeight="1">
      <c r="A124" s="6" t="str">
        <f>IF('Cobertura de Requisitos'!A124="","",'Cobertura de Requisitos'!A124)</f>
        <v/>
      </c>
      <c r="B124" s="9" t="str">
        <f>IF($A124="","",'Cobertura de Requisitos'!B124)</f>
        <v/>
      </c>
      <c r="C124" s="8" t="str">
        <f>IF($A124="","",IF('Cobertura de Requisitos'!E124&gt;0,"Si","No"))</f>
        <v/>
      </c>
      <c r="D124" s="8" t="str">
        <f>IF($A124="","",IF('Cobertura de Requisitos'!F124&gt;0,"Si","No"))</f>
        <v/>
      </c>
      <c r="E124" s="8" t="str">
        <f>IF($A124="","",IF('Cobertura de Requisitos'!G124&gt;0,"Si","No"))</f>
        <v/>
      </c>
      <c r="F124" s="8" t="str">
        <f>IF($A124="","",IF('Cobertura de Requisitos'!H124&gt;0,"Si","No"))</f>
        <v/>
      </c>
      <c r="G124" s="8"/>
      <c r="H124" s="12" t="str">
        <f>IF($A124="","",'Cobertura de Requisitos'!J124)</f>
        <v/>
      </c>
      <c r="I124" s="8" t="str">
        <f t="shared" si="1"/>
        <v/>
      </c>
      <c r="J124" s="16"/>
    </row>
    <row r="125" ht="15.75" customHeight="1">
      <c r="A125" s="6" t="str">
        <f>IF('Cobertura de Requisitos'!A125="","",'Cobertura de Requisitos'!A125)</f>
        <v/>
      </c>
      <c r="B125" s="9" t="str">
        <f>IF($A125="","",'Cobertura de Requisitos'!B125)</f>
        <v/>
      </c>
      <c r="C125" s="8" t="str">
        <f>IF($A125="","",IF('Cobertura de Requisitos'!E125&gt;0,"Si","No"))</f>
        <v/>
      </c>
      <c r="D125" s="8" t="str">
        <f>IF($A125="","",IF('Cobertura de Requisitos'!F125&gt;0,"Si","No"))</f>
        <v/>
      </c>
      <c r="E125" s="8" t="str">
        <f>IF($A125="","",IF('Cobertura de Requisitos'!G125&gt;0,"Si","No"))</f>
        <v/>
      </c>
      <c r="F125" s="8" t="str">
        <f>IF($A125="","",IF('Cobertura de Requisitos'!H125&gt;0,"Si","No"))</f>
        <v/>
      </c>
      <c r="G125" s="8"/>
      <c r="H125" s="12" t="str">
        <f>IF($A125="","",'Cobertura de Requisitos'!J125)</f>
        <v/>
      </c>
      <c r="I125" s="8" t="str">
        <f t="shared" si="1"/>
        <v/>
      </c>
      <c r="J125" s="16"/>
    </row>
    <row r="126" ht="15.75" customHeight="1">
      <c r="A126" s="6" t="str">
        <f>IF('Cobertura de Requisitos'!A126="","",'Cobertura de Requisitos'!A126)</f>
        <v/>
      </c>
      <c r="B126" s="9" t="str">
        <f>IF($A126="","",'Cobertura de Requisitos'!B126)</f>
        <v/>
      </c>
      <c r="C126" s="8" t="str">
        <f>IF($A126="","",IF('Cobertura de Requisitos'!E126&gt;0,"Si","No"))</f>
        <v/>
      </c>
      <c r="D126" s="8" t="str">
        <f>IF($A126="","",IF('Cobertura de Requisitos'!F126&gt;0,"Si","No"))</f>
        <v/>
      </c>
      <c r="E126" s="8" t="str">
        <f>IF($A126="","",IF('Cobertura de Requisitos'!G126&gt;0,"Si","No"))</f>
        <v/>
      </c>
      <c r="F126" s="8" t="str">
        <f>IF($A126="","",IF('Cobertura de Requisitos'!H126&gt;0,"Si","No"))</f>
        <v/>
      </c>
      <c r="G126" s="8"/>
      <c r="H126" s="12" t="str">
        <f>IF($A126="","",'Cobertura de Requisitos'!J126)</f>
        <v/>
      </c>
      <c r="I126" s="8" t="str">
        <f t="shared" si="1"/>
        <v/>
      </c>
      <c r="J126" s="16"/>
    </row>
    <row r="127" ht="15.75" customHeight="1">
      <c r="A127" s="6" t="str">
        <f>IF('Cobertura de Requisitos'!A127="","",'Cobertura de Requisitos'!A127)</f>
        <v/>
      </c>
      <c r="B127" s="9" t="str">
        <f>IF($A127="","",'Cobertura de Requisitos'!B127)</f>
        <v/>
      </c>
      <c r="C127" s="8" t="str">
        <f>IF($A127="","",IF('Cobertura de Requisitos'!E127&gt;0,"Si","No"))</f>
        <v/>
      </c>
      <c r="D127" s="8" t="str">
        <f>IF($A127="","",IF('Cobertura de Requisitos'!F127&gt;0,"Si","No"))</f>
        <v/>
      </c>
      <c r="E127" s="8" t="str">
        <f>IF($A127="","",IF('Cobertura de Requisitos'!G127&gt;0,"Si","No"))</f>
        <v/>
      </c>
      <c r="F127" s="8" t="str">
        <f>IF($A127="","",IF('Cobertura de Requisitos'!H127&gt;0,"Si","No"))</f>
        <v/>
      </c>
      <c r="G127" s="8"/>
      <c r="H127" s="12" t="str">
        <f>IF($A127="","",'Cobertura de Requisitos'!J127)</f>
        <v/>
      </c>
      <c r="I127" s="8" t="str">
        <f t="shared" si="1"/>
        <v/>
      </c>
      <c r="J127" s="16"/>
    </row>
    <row r="128" ht="15.75" customHeight="1">
      <c r="A128" s="6" t="str">
        <f>IF('Cobertura de Requisitos'!A128="","",'Cobertura de Requisitos'!A128)</f>
        <v/>
      </c>
      <c r="B128" s="9" t="str">
        <f>IF($A128="","",'Cobertura de Requisitos'!B128)</f>
        <v/>
      </c>
      <c r="C128" s="8" t="str">
        <f>IF($A128="","",IF('Cobertura de Requisitos'!E128&gt;0,"Si","No"))</f>
        <v/>
      </c>
      <c r="D128" s="8" t="str">
        <f>IF($A128="","",IF('Cobertura de Requisitos'!F128&gt;0,"Si","No"))</f>
        <v/>
      </c>
      <c r="E128" s="8" t="str">
        <f>IF($A128="","",IF('Cobertura de Requisitos'!G128&gt;0,"Si","No"))</f>
        <v/>
      </c>
      <c r="F128" s="8" t="str">
        <f>IF($A128="","",IF('Cobertura de Requisitos'!H128&gt;0,"Si","No"))</f>
        <v/>
      </c>
      <c r="G128" s="8"/>
      <c r="H128" s="12" t="str">
        <f>IF($A128="","",'Cobertura de Requisitos'!J128)</f>
        <v/>
      </c>
      <c r="I128" s="8" t="str">
        <f t="shared" si="1"/>
        <v/>
      </c>
      <c r="J128" s="16"/>
    </row>
    <row r="129" ht="15.75" customHeight="1">
      <c r="A129" s="6" t="str">
        <f>IF('Cobertura de Requisitos'!A129="","",'Cobertura de Requisitos'!A129)</f>
        <v/>
      </c>
      <c r="B129" s="9" t="str">
        <f>IF($A129="","",'Cobertura de Requisitos'!B129)</f>
        <v/>
      </c>
      <c r="C129" s="8" t="str">
        <f>IF($A129="","",IF('Cobertura de Requisitos'!E129&gt;0,"Si","No"))</f>
        <v/>
      </c>
      <c r="D129" s="8" t="str">
        <f>IF($A129="","",IF('Cobertura de Requisitos'!F129&gt;0,"Si","No"))</f>
        <v/>
      </c>
      <c r="E129" s="8" t="str">
        <f>IF($A129="","",IF('Cobertura de Requisitos'!G129&gt;0,"Si","No"))</f>
        <v/>
      </c>
      <c r="F129" s="8" t="str">
        <f>IF($A129="","",IF('Cobertura de Requisitos'!H129&gt;0,"Si","No"))</f>
        <v/>
      </c>
      <c r="G129" s="8"/>
      <c r="H129" s="12" t="str">
        <f>IF($A129="","",'Cobertura de Requisitos'!J129)</f>
        <v/>
      </c>
      <c r="I129" s="8" t="str">
        <f t="shared" si="1"/>
        <v/>
      </c>
      <c r="J129" s="16"/>
    </row>
    <row r="130" ht="15.75" customHeight="1">
      <c r="A130" s="6" t="str">
        <f>IF('Cobertura de Requisitos'!A130="","",'Cobertura de Requisitos'!A130)</f>
        <v/>
      </c>
      <c r="B130" s="9" t="str">
        <f>IF($A130="","",'Cobertura de Requisitos'!B130)</f>
        <v/>
      </c>
      <c r="C130" s="8" t="str">
        <f>IF($A130="","",IF('Cobertura de Requisitos'!E130&gt;0,"Si","No"))</f>
        <v/>
      </c>
      <c r="D130" s="8" t="str">
        <f>IF($A130="","",IF('Cobertura de Requisitos'!F130&gt;0,"Si","No"))</f>
        <v/>
      </c>
      <c r="E130" s="8" t="str">
        <f>IF($A130="","",IF('Cobertura de Requisitos'!G130&gt;0,"Si","No"))</f>
        <v/>
      </c>
      <c r="F130" s="8" t="str">
        <f>IF($A130="","",IF('Cobertura de Requisitos'!H130&gt;0,"Si","No"))</f>
        <v/>
      </c>
      <c r="G130" s="8"/>
      <c r="H130" s="12" t="str">
        <f>IF($A130="","",'Cobertura de Requisitos'!J130)</f>
        <v/>
      </c>
      <c r="I130" s="8" t="str">
        <f t="shared" si="1"/>
        <v/>
      </c>
      <c r="J130" s="16"/>
    </row>
    <row r="131" ht="15.75" customHeight="1">
      <c r="A131" s="6" t="str">
        <f>IF('Cobertura de Requisitos'!A131="","",'Cobertura de Requisitos'!A131)</f>
        <v/>
      </c>
      <c r="B131" s="9" t="str">
        <f>IF($A131="","",'Cobertura de Requisitos'!B131)</f>
        <v/>
      </c>
      <c r="C131" s="8" t="str">
        <f>IF($A131="","",IF('Cobertura de Requisitos'!E131&gt;0,"Si","No"))</f>
        <v/>
      </c>
      <c r="D131" s="8" t="str">
        <f>IF($A131="","",IF('Cobertura de Requisitos'!F131&gt;0,"Si","No"))</f>
        <v/>
      </c>
      <c r="E131" s="8" t="str">
        <f>IF($A131="","",IF('Cobertura de Requisitos'!G131&gt;0,"Si","No"))</f>
        <v/>
      </c>
      <c r="F131" s="8" t="str">
        <f>IF($A131="","",IF('Cobertura de Requisitos'!H131&gt;0,"Si","No"))</f>
        <v/>
      </c>
      <c r="G131" s="8"/>
      <c r="H131" s="12" t="str">
        <f>IF($A131="","",'Cobertura de Requisitos'!J131)</f>
        <v/>
      </c>
      <c r="I131" s="8" t="str">
        <f t="shared" si="1"/>
        <v/>
      </c>
      <c r="J131" s="16"/>
    </row>
    <row r="132" ht="15.75" customHeight="1">
      <c r="A132" s="6" t="str">
        <f>IF('Cobertura de Requisitos'!A132="","",'Cobertura de Requisitos'!A132)</f>
        <v/>
      </c>
      <c r="B132" s="9" t="str">
        <f>IF($A132="","",'Cobertura de Requisitos'!B132)</f>
        <v/>
      </c>
      <c r="C132" s="8" t="str">
        <f>IF($A132="","",IF('Cobertura de Requisitos'!E132&gt;0,"Si","No"))</f>
        <v/>
      </c>
      <c r="D132" s="8" t="str">
        <f>IF($A132="","",IF('Cobertura de Requisitos'!F132&gt;0,"Si","No"))</f>
        <v/>
      </c>
      <c r="E132" s="8" t="str">
        <f>IF($A132="","",IF('Cobertura de Requisitos'!G132&gt;0,"Si","No"))</f>
        <v/>
      </c>
      <c r="F132" s="8" t="str">
        <f>IF($A132="","",IF('Cobertura de Requisitos'!H132&gt;0,"Si","No"))</f>
        <v/>
      </c>
      <c r="G132" s="8"/>
      <c r="H132" s="12" t="str">
        <f>IF($A132="","",'Cobertura de Requisitos'!J132)</f>
        <v/>
      </c>
      <c r="I132" s="8" t="str">
        <f t="shared" si="1"/>
        <v/>
      </c>
      <c r="J132" s="16"/>
    </row>
    <row r="133" ht="15.75" customHeight="1">
      <c r="A133" s="6" t="str">
        <f>IF('Cobertura de Requisitos'!A133="","",'Cobertura de Requisitos'!A133)</f>
        <v/>
      </c>
      <c r="B133" s="9" t="str">
        <f>IF($A133="","",'Cobertura de Requisitos'!B133)</f>
        <v/>
      </c>
      <c r="C133" s="8" t="str">
        <f>IF($A133="","",IF('Cobertura de Requisitos'!E133&gt;0,"Si","No"))</f>
        <v/>
      </c>
      <c r="D133" s="8" t="str">
        <f>IF($A133="","",IF('Cobertura de Requisitos'!F133&gt;0,"Si","No"))</f>
        <v/>
      </c>
      <c r="E133" s="8" t="str">
        <f>IF($A133="","",IF('Cobertura de Requisitos'!G133&gt;0,"Si","No"))</f>
        <v/>
      </c>
      <c r="F133" s="8" t="str">
        <f>IF($A133="","",IF('Cobertura de Requisitos'!H133&gt;0,"Si","No"))</f>
        <v/>
      </c>
      <c r="G133" s="8"/>
      <c r="H133" s="12" t="str">
        <f>IF($A133="","",'Cobertura de Requisitos'!J133)</f>
        <v/>
      </c>
      <c r="I133" s="8" t="str">
        <f t="shared" si="1"/>
        <v/>
      </c>
      <c r="J133" s="16"/>
    </row>
    <row r="134" ht="15.75" customHeight="1">
      <c r="A134" s="6" t="str">
        <f>IF('Cobertura de Requisitos'!A134="","",'Cobertura de Requisitos'!A134)</f>
        <v/>
      </c>
      <c r="B134" s="9" t="str">
        <f>IF($A134="","",'Cobertura de Requisitos'!B134)</f>
        <v/>
      </c>
      <c r="C134" s="8" t="str">
        <f>IF($A134="","",IF('Cobertura de Requisitos'!E134&gt;0,"Si","No"))</f>
        <v/>
      </c>
      <c r="D134" s="8" t="str">
        <f>IF($A134="","",IF('Cobertura de Requisitos'!F134&gt;0,"Si","No"))</f>
        <v/>
      </c>
      <c r="E134" s="8" t="str">
        <f>IF($A134="","",IF('Cobertura de Requisitos'!G134&gt;0,"Si","No"))</f>
        <v/>
      </c>
      <c r="F134" s="8" t="str">
        <f>IF($A134="","",IF('Cobertura de Requisitos'!H134&gt;0,"Si","No"))</f>
        <v/>
      </c>
      <c r="G134" s="8"/>
      <c r="H134" s="12" t="str">
        <f>IF($A134="","",'Cobertura de Requisitos'!J134)</f>
        <v/>
      </c>
      <c r="I134" s="8" t="str">
        <f t="shared" si="1"/>
        <v/>
      </c>
      <c r="J134" s="16"/>
    </row>
    <row r="135" ht="15.75" customHeight="1">
      <c r="A135" s="6" t="str">
        <f>IF('Cobertura de Requisitos'!A135="","",'Cobertura de Requisitos'!A135)</f>
        <v/>
      </c>
      <c r="B135" s="9" t="str">
        <f>IF($A135="","",'Cobertura de Requisitos'!B135)</f>
        <v/>
      </c>
      <c r="C135" s="8" t="str">
        <f>IF($A135="","",IF('Cobertura de Requisitos'!E135&gt;0,"Si","No"))</f>
        <v/>
      </c>
      <c r="D135" s="8" t="str">
        <f>IF($A135="","",IF('Cobertura de Requisitos'!F135&gt;0,"Si","No"))</f>
        <v/>
      </c>
      <c r="E135" s="8" t="str">
        <f>IF($A135="","",IF('Cobertura de Requisitos'!G135&gt;0,"Si","No"))</f>
        <v/>
      </c>
      <c r="F135" s="8" t="str">
        <f>IF($A135="","",IF('Cobertura de Requisitos'!H135&gt;0,"Si","No"))</f>
        <v/>
      </c>
      <c r="G135" s="8"/>
      <c r="H135" s="12" t="str">
        <f>IF($A135="","",'Cobertura de Requisitos'!J135)</f>
        <v/>
      </c>
      <c r="I135" s="8" t="str">
        <f t="shared" si="1"/>
        <v/>
      </c>
      <c r="J135" s="16"/>
    </row>
    <row r="136" ht="15.75" customHeight="1">
      <c r="A136" s="6" t="str">
        <f>IF('Cobertura de Requisitos'!A136="","",'Cobertura de Requisitos'!A136)</f>
        <v/>
      </c>
      <c r="B136" s="9" t="str">
        <f>IF($A136="","",'Cobertura de Requisitos'!B136)</f>
        <v/>
      </c>
      <c r="C136" s="8" t="str">
        <f>IF($A136="","",IF('Cobertura de Requisitos'!E136&gt;0,"Si","No"))</f>
        <v/>
      </c>
      <c r="D136" s="8" t="str">
        <f>IF($A136="","",IF('Cobertura de Requisitos'!F136&gt;0,"Si","No"))</f>
        <v/>
      </c>
      <c r="E136" s="8" t="str">
        <f>IF($A136="","",IF('Cobertura de Requisitos'!G136&gt;0,"Si","No"))</f>
        <v/>
      </c>
      <c r="F136" s="8" t="str">
        <f>IF($A136="","",IF('Cobertura de Requisitos'!H136&gt;0,"Si","No"))</f>
        <v/>
      </c>
      <c r="G136" s="8"/>
      <c r="H136" s="12" t="str">
        <f>IF($A136="","",'Cobertura de Requisitos'!J136)</f>
        <v/>
      </c>
      <c r="I136" s="8" t="str">
        <f t="shared" si="1"/>
        <v/>
      </c>
      <c r="J136" s="16"/>
    </row>
    <row r="137" ht="15.75" customHeight="1">
      <c r="A137" s="6" t="str">
        <f>IF('Cobertura de Requisitos'!A137="","",'Cobertura de Requisitos'!A137)</f>
        <v/>
      </c>
      <c r="B137" s="9" t="str">
        <f>IF($A137="","",'Cobertura de Requisitos'!B137)</f>
        <v/>
      </c>
      <c r="C137" s="8" t="str">
        <f>IF($A137="","",IF('Cobertura de Requisitos'!E137&gt;0,"Si","No"))</f>
        <v/>
      </c>
      <c r="D137" s="8" t="str">
        <f>IF($A137="","",IF('Cobertura de Requisitos'!F137&gt;0,"Si","No"))</f>
        <v/>
      </c>
      <c r="E137" s="8" t="str">
        <f>IF($A137="","",IF('Cobertura de Requisitos'!G137&gt;0,"Si","No"))</f>
        <v/>
      </c>
      <c r="F137" s="8" t="str">
        <f>IF($A137="","",IF('Cobertura de Requisitos'!H137&gt;0,"Si","No"))</f>
        <v/>
      </c>
      <c r="G137" s="8"/>
      <c r="H137" s="12" t="str">
        <f>IF($A137="","",'Cobertura de Requisitos'!J137)</f>
        <v/>
      </c>
      <c r="I137" s="8" t="str">
        <f t="shared" si="1"/>
        <v/>
      </c>
      <c r="J137" s="16"/>
    </row>
    <row r="138" ht="15.75" customHeight="1">
      <c r="A138" s="6" t="str">
        <f>IF('Cobertura de Requisitos'!A138="","",'Cobertura de Requisitos'!A138)</f>
        <v/>
      </c>
      <c r="B138" s="9" t="str">
        <f>IF($A138="","",'Cobertura de Requisitos'!B138)</f>
        <v/>
      </c>
      <c r="C138" s="8" t="str">
        <f>IF($A138="","",IF('Cobertura de Requisitos'!E138&gt;0,"Si","No"))</f>
        <v/>
      </c>
      <c r="D138" s="8" t="str">
        <f>IF($A138="","",IF('Cobertura de Requisitos'!F138&gt;0,"Si","No"))</f>
        <v/>
      </c>
      <c r="E138" s="8" t="str">
        <f>IF($A138="","",IF('Cobertura de Requisitos'!G138&gt;0,"Si","No"))</f>
        <v/>
      </c>
      <c r="F138" s="8" t="str">
        <f>IF($A138="","",IF('Cobertura de Requisitos'!H138&gt;0,"Si","No"))</f>
        <v/>
      </c>
      <c r="G138" s="8"/>
      <c r="H138" s="12" t="str">
        <f>IF($A138="","",'Cobertura de Requisitos'!J138)</f>
        <v/>
      </c>
      <c r="I138" s="8" t="str">
        <f t="shared" si="1"/>
        <v/>
      </c>
      <c r="J138" s="16"/>
    </row>
    <row r="139" ht="15.75" customHeight="1">
      <c r="A139" s="6" t="str">
        <f>IF('Cobertura de Requisitos'!A139="","",'Cobertura de Requisitos'!A139)</f>
        <v/>
      </c>
      <c r="B139" s="9" t="str">
        <f>IF($A139="","",'Cobertura de Requisitos'!B139)</f>
        <v/>
      </c>
      <c r="C139" s="8" t="str">
        <f>IF($A139="","",IF('Cobertura de Requisitos'!E139&gt;0,"Si","No"))</f>
        <v/>
      </c>
      <c r="D139" s="8" t="str">
        <f>IF($A139="","",IF('Cobertura de Requisitos'!F139&gt;0,"Si","No"))</f>
        <v/>
      </c>
      <c r="E139" s="8" t="str">
        <f>IF($A139="","",IF('Cobertura de Requisitos'!G139&gt;0,"Si","No"))</f>
        <v/>
      </c>
      <c r="F139" s="8" t="str">
        <f>IF($A139="","",IF('Cobertura de Requisitos'!H139&gt;0,"Si","No"))</f>
        <v/>
      </c>
      <c r="G139" s="8"/>
      <c r="H139" s="12" t="str">
        <f>IF($A139="","",'Cobertura de Requisitos'!J139)</f>
        <v/>
      </c>
      <c r="I139" s="8" t="str">
        <f t="shared" si="1"/>
        <v/>
      </c>
      <c r="J139" s="16"/>
    </row>
    <row r="140" ht="15.75" customHeight="1">
      <c r="A140" s="6" t="str">
        <f>IF('Cobertura de Requisitos'!A140="","",'Cobertura de Requisitos'!A140)</f>
        <v/>
      </c>
      <c r="B140" s="9" t="str">
        <f>IF($A140="","",'Cobertura de Requisitos'!B140)</f>
        <v/>
      </c>
      <c r="C140" s="8" t="str">
        <f>IF($A140="","",IF('Cobertura de Requisitos'!E140&gt;0,"Si","No"))</f>
        <v/>
      </c>
      <c r="D140" s="8" t="str">
        <f>IF($A140="","",IF('Cobertura de Requisitos'!F140&gt;0,"Si","No"))</f>
        <v/>
      </c>
      <c r="E140" s="8" t="str">
        <f>IF($A140="","",IF('Cobertura de Requisitos'!G140&gt;0,"Si","No"))</f>
        <v/>
      </c>
      <c r="F140" s="8" t="str">
        <f>IF($A140="","",IF('Cobertura de Requisitos'!H140&gt;0,"Si","No"))</f>
        <v/>
      </c>
      <c r="G140" s="8"/>
      <c r="H140" s="12" t="str">
        <f>IF($A140="","",'Cobertura de Requisitos'!J140)</f>
        <v/>
      </c>
      <c r="I140" s="8" t="str">
        <f t="shared" si="1"/>
        <v/>
      </c>
      <c r="J140" s="16"/>
    </row>
    <row r="141" ht="15.75" customHeight="1">
      <c r="A141" s="6" t="str">
        <f>IF('Cobertura de Requisitos'!A141="","",'Cobertura de Requisitos'!A141)</f>
        <v/>
      </c>
      <c r="B141" s="9" t="str">
        <f>IF($A141="","",'Cobertura de Requisitos'!B141)</f>
        <v/>
      </c>
      <c r="C141" s="8" t="str">
        <f>IF($A141="","",IF('Cobertura de Requisitos'!E141&gt;0,"Si","No"))</f>
        <v/>
      </c>
      <c r="D141" s="8" t="str">
        <f>IF($A141="","",IF('Cobertura de Requisitos'!F141&gt;0,"Si","No"))</f>
        <v/>
      </c>
      <c r="E141" s="8" t="str">
        <f>IF($A141="","",IF('Cobertura de Requisitos'!G141&gt;0,"Si","No"))</f>
        <v/>
      </c>
      <c r="F141" s="8" t="str">
        <f>IF($A141="","",IF('Cobertura de Requisitos'!H141&gt;0,"Si","No"))</f>
        <v/>
      </c>
      <c r="G141" s="8"/>
      <c r="H141" s="12" t="str">
        <f>IF($A141="","",'Cobertura de Requisitos'!J141)</f>
        <v/>
      </c>
      <c r="I141" s="8" t="str">
        <f t="shared" si="1"/>
        <v/>
      </c>
      <c r="J141" s="16"/>
    </row>
    <row r="142" ht="15.75" customHeight="1">
      <c r="A142" s="6" t="str">
        <f>IF('Cobertura de Requisitos'!A142="","",'Cobertura de Requisitos'!A142)</f>
        <v/>
      </c>
      <c r="B142" s="9" t="str">
        <f>IF($A142="","",'Cobertura de Requisitos'!B142)</f>
        <v/>
      </c>
      <c r="C142" s="8" t="str">
        <f>IF($A142="","",IF('Cobertura de Requisitos'!E142&gt;0,"Si","No"))</f>
        <v/>
      </c>
      <c r="D142" s="8" t="str">
        <f>IF($A142="","",IF('Cobertura de Requisitos'!F142&gt;0,"Si","No"))</f>
        <v/>
      </c>
      <c r="E142" s="8" t="str">
        <f>IF($A142="","",IF('Cobertura de Requisitos'!G142&gt;0,"Si","No"))</f>
        <v/>
      </c>
      <c r="F142" s="8" t="str">
        <f>IF($A142="","",IF('Cobertura de Requisitos'!H142&gt;0,"Si","No"))</f>
        <v/>
      </c>
      <c r="G142" s="8"/>
      <c r="H142" s="12" t="str">
        <f>IF($A142="","",'Cobertura de Requisitos'!J142)</f>
        <v/>
      </c>
      <c r="I142" s="8" t="str">
        <f t="shared" si="1"/>
        <v/>
      </c>
      <c r="J142" s="16"/>
    </row>
    <row r="143" ht="15.75" customHeight="1">
      <c r="A143" s="6" t="str">
        <f>IF('Cobertura de Requisitos'!A143="","",'Cobertura de Requisitos'!A143)</f>
        <v/>
      </c>
      <c r="B143" s="9" t="str">
        <f>IF($A143="","",'Cobertura de Requisitos'!B143)</f>
        <v/>
      </c>
      <c r="C143" s="8" t="str">
        <f>IF($A143="","",IF('Cobertura de Requisitos'!E143&gt;0,"Si","No"))</f>
        <v/>
      </c>
      <c r="D143" s="8" t="str">
        <f>IF($A143="","",IF('Cobertura de Requisitos'!F143&gt;0,"Si","No"))</f>
        <v/>
      </c>
      <c r="E143" s="8" t="str">
        <f>IF($A143="","",IF('Cobertura de Requisitos'!G143&gt;0,"Si","No"))</f>
        <v/>
      </c>
      <c r="F143" s="8" t="str">
        <f>IF($A143="","",IF('Cobertura de Requisitos'!H143&gt;0,"Si","No"))</f>
        <v/>
      </c>
      <c r="G143" s="8"/>
      <c r="H143" s="12" t="str">
        <f>IF($A143="","",'Cobertura de Requisitos'!J143)</f>
        <v/>
      </c>
      <c r="I143" s="8" t="str">
        <f t="shared" si="1"/>
        <v/>
      </c>
      <c r="J143" s="16"/>
    </row>
    <row r="144" ht="15.75" customHeight="1">
      <c r="A144" s="6" t="str">
        <f>IF('Cobertura de Requisitos'!A144="","",'Cobertura de Requisitos'!A144)</f>
        <v/>
      </c>
      <c r="B144" s="9" t="str">
        <f>IF($A144="","",'Cobertura de Requisitos'!B144)</f>
        <v/>
      </c>
      <c r="C144" s="8" t="str">
        <f>IF($A144="","",IF('Cobertura de Requisitos'!E144&gt;0,"Si","No"))</f>
        <v/>
      </c>
      <c r="D144" s="8" t="str">
        <f>IF($A144="","",IF('Cobertura de Requisitos'!F144&gt;0,"Si","No"))</f>
        <v/>
      </c>
      <c r="E144" s="8" t="str">
        <f>IF($A144="","",IF('Cobertura de Requisitos'!G144&gt;0,"Si","No"))</f>
        <v/>
      </c>
      <c r="F144" s="8" t="str">
        <f>IF($A144="","",IF('Cobertura de Requisitos'!H144&gt;0,"Si","No"))</f>
        <v/>
      </c>
      <c r="G144" s="8"/>
      <c r="H144" s="12" t="str">
        <f>IF($A144="","",'Cobertura de Requisitos'!J144)</f>
        <v/>
      </c>
      <c r="I144" s="8" t="str">
        <f t="shared" si="1"/>
        <v/>
      </c>
      <c r="J144" s="16"/>
    </row>
    <row r="145" ht="15.75" customHeight="1">
      <c r="A145" s="6" t="str">
        <f>IF('Cobertura de Requisitos'!A145="","",'Cobertura de Requisitos'!A145)</f>
        <v/>
      </c>
      <c r="B145" s="9" t="str">
        <f>IF($A145="","",'Cobertura de Requisitos'!B145)</f>
        <v/>
      </c>
      <c r="C145" s="8" t="str">
        <f>IF($A145="","",IF('Cobertura de Requisitos'!E145&gt;0,"Si","No"))</f>
        <v/>
      </c>
      <c r="D145" s="8" t="str">
        <f>IF($A145="","",IF('Cobertura de Requisitos'!F145&gt;0,"Si","No"))</f>
        <v/>
      </c>
      <c r="E145" s="8" t="str">
        <f>IF($A145="","",IF('Cobertura de Requisitos'!G145&gt;0,"Si","No"))</f>
        <v/>
      </c>
      <c r="F145" s="8" t="str">
        <f>IF($A145="","",IF('Cobertura de Requisitos'!H145&gt;0,"Si","No"))</f>
        <v/>
      </c>
      <c r="G145" s="8"/>
      <c r="H145" s="12" t="str">
        <f>IF($A145="","",'Cobertura de Requisitos'!J145)</f>
        <v/>
      </c>
      <c r="I145" s="8" t="str">
        <f t="shared" si="1"/>
        <v/>
      </c>
      <c r="J145" s="16"/>
    </row>
    <row r="146" ht="15.75" customHeight="1">
      <c r="A146" s="6" t="str">
        <f>IF('Cobertura de Requisitos'!A146="","",'Cobertura de Requisitos'!A146)</f>
        <v/>
      </c>
      <c r="B146" s="9" t="str">
        <f>IF($A146="","",'Cobertura de Requisitos'!B146)</f>
        <v/>
      </c>
      <c r="C146" s="8" t="str">
        <f>IF($A146="","",IF('Cobertura de Requisitos'!E146&gt;0,"Si","No"))</f>
        <v/>
      </c>
      <c r="D146" s="8" t="str">
        <f>IF($A146="","",IF('Cobertura de Requisitos'!F146&gt;0,"Si","No"))</f>
        <v/>
      </c>
      <c r="E146" s="8" t="str">
        <f>IF($A146="","",IF('Cobertura de Requisitos'!G146&gt;0,"Si","No"))</f>
        <v/>
      </c>
      <c r="F146" s="8" t="str">
        <f>IF($A146="","",IF('Cobertura de Requisitos'!H146&gt;0,"Si","No"))</f>
        <v/>
      </c>
      <c r="G146" s="8"/>
      <c r="H146" s="12" t="str">
        <f>IF($A146="","",'Cobertura de Requisitos'!J146)</f>
        <v/>
      </c>
      <c r="I146" s="8" t="str">
        <f t="shared" si="1"/>
        <v/>
      </c>
      <c r="J146" s="16"/>
    </row>
    <row r="147" ht="15.75" customHeight="1">
      <c r="A147" s="6" t="str">
        <f>IF('Cobertura de Requisitos'!A147="","",'Cobertura de Requisitos'!A147)</f>
        <v/>
      </c>
      <c r="B147" s="9" t="str">
        <f>IF($A147="","",'Cobertura de Requisitos'!B147)</f>
        <v/>
      </c>
      <c r="C147" s="8" t="str">
        <f>IF($A147="","",IF('Cobertura de Requisitos'!E147&gt;0,"Si","No"))</f>
        <v/>
      </c>
      <c r="D147" s="8" t="str">
        <f>IF($A147="","",IF('Cobertura de Requisitos'!F147&gt;0,"Si","No"))</f>
        <v/>
      </c>
      <c r="E147" s="8" t="str">
        <f>IF($A147="","",IF('Cobertura de Requisitos'!G147&gt;0,"Si","No"))</f>
        <v/>
      </c>
      <c r="F147" s="8" t="str">
        <f>IF($A147="","",IF('Cobertura de Requisitos'!H147&gt;0,"Si","No"))</f>
        <v/>
      </c>
      <c r="G147" s="8"/>
      <c r="H147" s="12" t="str">
        <f>IF($A147="","",'Cobertura de Requisitos'!J147)</f>
        <v/>
      </c>
      <c r="I147" s="8" t="str">
        <f t="shared" si="1"/>
        <v/>
      </c>
      <c r="J147" s="16"/>
    </row>
    <row r="148" ht="15.75" customHeight="1">
      <c r="A148" s="6" t="str">
        <f>IF('Cobertura de Requisitos'!A148="","",'Cobertura de Requisitos'!A148)</f>
        <v/>
      </c>
      <c r="B148" s="9" t="str">
        <f>IF($A148="","",'Cobertura de Requisitos'!B148)</f>
        <v/>
      </c>
      <c r="C148" s="8" t="str">
        <f>IF($A148="","",IF('Cobertura de Requisitos'!E148&gt;0,"Si","No"))</f>
        <v/>
      </c>
      <c r="D148" s="8" t="str">
        <f>IF($A148="","",IF('Cobertura de Requisitos'!F148&gt;0,"Si","No"))</f>
        <v/>
      </c>
      <c r="E148" s="8" t="str">
        <f>IF($A148="","",IF('Cobertura de Requisitos'!G148&gt;0,"Si","No"))</f>
        <v/>
      </c>
      <c r="F148" s="8" t="str">
        <f>IF($A148="","",IF('Cobertura de Requisitos'!H148&gt;0,"Si","No"))</f>
        <v/>
      </c>
      <c r="G148" s="8"/>
      <c r="H148" s="12" t="str">
        <f>IF($A148="","",'Cobertura de Requisitos'!J148)</f>
        <v/>
      </c>
      <c r="I148" s="8" t="str">
        <f t="shared" si="1"/>
        <v/>
      </c>
      <c r="J148" s="16"/>
    </row>
    <row r="149" ht="15.75" customHeight="1">
      <c r="A149" s="6" t="str">
        <f>IF('Cobertura de Requisitos'!A149="","",'Cobertura de Requisitos'!A149)</f>
        <v/>
      </c>
      <c r="B149" s="9" t="str">
        <f>IF($A149="","",'Cobertura de Requisitos'!B149)</f>
        <v/>
      </c>
      <c r="C149" s="8" t="str">
        <f>IF($A149="","",IF('Cobertura de Requisitos'!E149&gt;0,"Si","No"))</f>
        <v/>
      </c>
      <c r="D149" s="8" t="str">
        <f>IF($A149="","",IF('Cobertura de Requisitos'!F149&gt;0,"Si","No"))</f>
        <v/>
      </c>
      <c r="E149" s="8" t="str">
        <f>IF($A149="","",IF('Cobertura de Requisitos'!G149&gt;0,"Si","No"))</f>
        <v/>
      </c>
      <c r="F149" s="8" t="str">
        <f>IF($A149="","",IF('Cobertura de Requisitos'!H149&gt;0,"Si","No"))</f>
        <v/>
      </c>
      <c r="G149" s="8"/>
      <c r="H149" s="12" t="str">
        <f>IF($A149="","",'Cobertura de Requisitos'!J149)</f>
        <v/>
      </c>
      <c r="I149" s="8" t="str">
        <f t="shared" si="1"/>
        <v/>
      </c>
      <c r="J149" s="16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J1"/>
    <mergeCell ref="A2:J2"/>
  </mergeCells>
  <conditionalFormatting sqref="C4:C149">
    <cfRule type="cellIs" dxfId="0" priority="1" operator="equal">
      <formula>"Si"</formula>
    </cfRule>
  </conditionalFormatting>
  <conditionalFormatting sqref="C4:C149">
    <cfRule type="cellIs" dxfId="2" priority="2" operator="equal">
      <formula>"No"</formula>
    </cfRule>
  </conditionalFormatting>
  <conditionalFormatting sqref="D4:D149">
    <cfRule type="cellIs" dxfId="0" priority="3" operator="equal">
      <formula>"Si"</formula>
    </cfRule>
  </conditionalFormatting>
  <conditionalFormatting sqref="D4:D149">
    <cfRule type="cellIs" dxfId="2" priority="4" operator="equal">
      <formula>"No"</formula>
    </cfRule>
  </conditionalFormatting>
  <conditionalFormatting sqref="E4:E149">
    <cfRule type="cellIs" dxfId="0" priority="5" operator="equal">
      <formula>"Si"</formula>
    </cfRule>
  </conditionalFormatting>
  <conditionalFormatting sqref="E4:E149">
    <cfRule type="cellIs" dxfId="2" priority="6" operator="equal">
      <formula>"No"</formula>
    </cfRule>
  </conditionalFormatting>
  <conditionalFormatting sqref="F4:F149">
    <cfRule type="cellIs" dxfId="0" priority="7" operator="equal">
      <formula>"Si"</formula>
    </cfRule>
  </conditionalFormatting>
  <conditionalFormatting sqref="F4:F149">
    <cfRule type="cellIs" dxfId="2" priority="8" operator="equal">
      <formula>"No"</formula>
    </cfRule>
  </conditionalFormatting>
  <conditionalFormatting sqref="G4:G149">
    <cfRule type="cellIs" dxfId="1" priority="9" operator="equal">
      <formula>"Pendiente"</formula>
    </cfRule>
  </conditionalFormatting>
  <conditionalFormatting sqref="H4:H149">
    <cfRule type="cellIs" dxfId="0" priority="10" operator="equal">
      <formula>"Completo"</formula>
    </cfRule>
  </conditionalFormatting>
  <conditionalFormatting sqref="H4:H149">
    <cfRule type="cellIs" dxfId="1" priority="11" operator="equal">
      <formula>"Parcial"</formula>
    </cfRule>
  </conditionalFormatting>
  <conditionalFormatting sqref="H4:H149">
    <cfRule type="cellIs" dxfId="2" priority="12" operator="equal">
      <formula>"Pendiente"</formula>
    </cfRule>
  </conditionalFormatting>
  <conditionalFormatting sqref="I4:I149">
    <cfRule type="cellIs" dxfId="0" priority="13" operator="equal">
      <formula>"Si"</formula>
    </cfRule>
  </conditionalFormatting>
  <conditionalFormatting sqref="I4:I149">
    <cfRule type="cellIs" dxfId="2" priority="14" operator="equal">
      <formula>"No"</formula>
    </cfRule>
  </conditionalFormatting>
  <dataValidations>
    <dataValidation type="list" allowBlank="1" sqref="G4:G149">
      <formula1>"Si,No,Pendiente"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9.71"/>
    <col customWidth="1" min="2" max="6" width="13.0"/>
    <col customWidth="1" min="7" max="26" width="8.71"/>
  </cols>
  <sheetData>
    <row r="1" ht="27.75" customHeight="1">
      <c r="A1" s="1" t="s">
        <v>141</v>
      </c>
      <c r="B1" s="2"/>
      <c r="C1" s="2"/>
      <c r="D1" s="2"/>
      <c r="E1" s="2"/>
      <c r="F1" s="3"/>
    </row>
    <row r="3" ht="19.5" customHeight="1">
      <c r="A3" s="27" t="s">
        <v>142</v>
      </c>
      <c r="B3" s="2"/>
      <c r="C3" s="2"/>
      <c r="D3" s="2"/>
      <c r="E3" s="2"/>
      <c r="F3" s="3"/>
    </row>
    <row r="4">
      <c r="A4" s="5" t="s">
        <v>10</v>
      </c>
      <c r="B4" s="5" t="s">
        <v>143</v>
      </c>
      <c r="C4" s="5" t="s">
        <v>144</v>
      </c>
      <c r="D4" s="5" t="s">
        <v>145</v>
      </c>
      <c r="E4" s="5" t="s">
        <v>119</v>
      </c>
      <c r="F4" s="5" t="s">
        <v>146</v>
      </c>
    </row>
    <row r="5">
      <c r="A5" s="42" t="s">
        <v>27</v>
      </c>
      <c r="B5" s="43">
        <f>COUNTIF('Cobertura de Requisitos'!C4:C149,$A5)</f>
        <v>9</v>
      </c>
      <c r="C5" s="43">
        <f>COUNTIFS('Cobertura de Requisitos'!C4:C149,$A5,'Cobertura de Requisitos'!J4:J149,"Completo")</f>
        <v>0</v>
      </c>
      <c r="D5" s="43">
        <f>COUNTIFS('Cobertura de Requisitos'!C4:C149,$A5,'Cobertura de Requisitos'!J4:J149,"Parcial")</f>
        <v>9</v>
      </c>
      <c r="E5" s="43">
        <f>COUNTIFS('Cobertura de Requisitos'!C4:C149,$A5,'Cobertura de Requisitos'!J4:J149,"Pendiente")</f>
        <v>0</v>
      </c>
      <c r="F5" s="13">
        <f>IFERROR(AVERAGEIFS('Cobertura de Requisitos'!I4:I149,'Cobertura de Requisitos'!C4:C149,$A5),0)</f>
        <v>0.3055555556</v>
      </c>
    </row>
    <row r="6">
      <c r="A6" s="42" t="s">
        <v>47</v>
      </c>
      <c r="B6" s="43">
        <f>COUNTIF('Cobertura de Requisitos'!C4:C149,$A6)</f>
        <v>4</v>
      </c>
      <c r="C6" s="43">
        <f>COUNTIFS('Cobertura de Requisitos'!C4:C149,$A6,'Cobertura de Requisitos'!J4:J149,"Completo")</f>
        <v>0</v>
      </c>
      <c r="D6" s="43">
        <f>COUNTIFS('Cobertura de Requisitos'!C4:C149,$A6,'Cobertura de Requisitos'!J4:J149,"Parcial")</f>
        <v>4</v>
      </c>
      <c r="E6" s="43">
        <f>COUNTIFS('Cobertura de Requisitos'!C4:C149,$A6,'Cobertura de Requisitos'!J4:J149,"Pendiente")</f>
        <v>0</v>
      </c>
      <c r="F6" s="13">
        <f>IFERROR(AVERAGEIFS('Cobertura de Requisitos'!I4:I149,'Cobertura de Requisitos'!C4:C149,$A6),0)</f>
        <v>0.25</v>
      </c>
    </row>
    <row r="7">
      <c r="A7" s="44" t="s">
        <v>57</v>
      </c>
      <c r="B7" s="43">
        <f>COUNTIF('Cobertura de Requisitos'!C4:C149,$A7)</f>
        <v>8</v>
      </c>
      <c r="C7" s="43">
        <f>COUNTIFS('Cobertura de Requisitos'!C4:C149,$A7,'Cobertura de Requisitos'!J4:J149,"Completo")</f>
        <v>0</v>
      </c>
      <c r="D7" s="43">
        <f>COUNTIFS('Cobertura de Requisitos'!C4:C149,$A7,'Cobertura de Requisitos'!J4:J149,"Parcial")</f>
        <v>2</v>
      </c>
      <c r="E7" s="43">
        <f>COUNTIFS('Cobertura de Requisitos'!C4:C149,$A7,'Cobertura de Requisitos'!J4:J149,"Pendiente")</f>
        <v>6</v>
      </c>
      <c r="F7" s="13">
        <f>IFERROR(AVERAGEIFS('Cobertura de Requisitos'!I4:I149,'Cobertura de Requisitos'!C4:C149,$A7),0)</f>
        <v>0.0625</v>
      </c>
    </row>
    <row r="8">
      <c r="A8" s="44" t="s">
        <v>76</v>
      </c>
      <c r="B8" s="43">
        <f>COUNTIF('Cobertura de Requisitos'!C4:C149,$A8)</f>
        <v>4</v>
      </c>
      <c r="C8" s="43">
        <f>COUNTIFS('Cobertura de Requisitos'!C4:C149,$A8,'Cobertura de Requisitos'!J4:J149,"Completo")</f>
        <v>0</v>
      </c>
      <c r="D8" s="43">
        <f>COUNTIFS('Cobertura de Requisitos'!C4:C149,$A8,'Cobertura de Requisitos'!J4:J149,"Parcial")</f>
        <v>0</v>
      </c>
      <c r="E8" s="43">
        <f>COUNTIFS('Cobertura de Requisitos'!C4:C149,$A8,'Cobertura de Requisitos'!J4:J149,"Pendiente")</f>
        <v>4</v>
      </c>
      <c r="F8" s="13">
        <f>IFERROR(AVERAGEIFS('Cobertura de Requisitos'!I4:I149,'Cobertura de Requisitos'!C4:C149,$A8),0)</f>
        <v>0</v>
      </c>
    </row>
    <row r="9" ht="16.5" customHeight="1">
      <c r="A9" s="44" t="s">
        <v>94</v>
      </c>
      <c r="B9" s="43">
        <f>COUNTIF('Cobertura de Requisitos'!C4:C149,$A9)</f>
        <v>2</v>
      </c>
      <c r="C9" s="43">
        <f>COUNTIFS('Cobertura de Requisitos'!C4:C149,$A9,'Cobertura de Requisitos'!J4:J149,"Completo")</f>
        <v>0</v>
      </c>
      <c r="D9" s="43">
        <f>COUNTIFS('Cobertura de Requisitos'!C4:C149,$A9,'Cobertura de Requisitos'!J4:J149,"Parcial")</f>
        <v>0</v>
      </c>
      <c r="E9" s="43">
        <f>COUNTIFS('Cobertura de Requisitos'!C4:C149,$A9,'Cobertura de Requisitos'!J4:J149,"Pendiente")</f>
        <v>2</v>
      </c>
      <c r="F9" s="13">
        <f>IFERROR(AVERAGEIFS('Cobertura de Requisitos'!I4:I149,'Cobertura de Requisitos'!C4:C149,$A9),0)</f>
        <v>0</v>
      </c>
    </row>
    <row r="10">
      <c r="A10" s="44" t="s">
        <v>85</v>
      </c>
      <c r="B10" s="43">
        <f>COUNTIF('Cobertura de Requisitos'!C4:C149,$A10)</f>
        <v>4</v>
      </c>
      <c r="C10" s="43">
        <f>COUNTIFS('Cobertura de Requisitos'!C4:C149,$A10,'Cobertura de Requisitos'!J4:J149,"Completo")</f>
        <v>0</v>
      </c>
      <c r="D10" s="43">
        <f>COUNTIFS('Cobertura de Requisitos'!C4:C149,$A10,'Cobertura de Requisitos'!J4:J149,"Parcial")</f>
        <v>0</v>
      </c>
      <c r="E10" s="43">
        <f>COUNTIFS('Cobertura de Requisitos'!C4:C149,$A10,'Cobertura de Requisitos'!J4:J149,"Pendiente")</f>
        <v>4</v>
      </c>
      <c r="F10" s="13">
        <f>IFERROR(AVERAGEIFS('Cobertura de Requisitos'!I4:I149,'Cobertura de Requisitos'!C4:C149,$A10),0)</f>
        <v>0</v>
      </c>
    </row>
    <row r="11">
      <c r="A11" s="44" t="s">
        <v>103</v>
      </c>
      <c r="B11" s="43">
        <f>COUNTIF('Cobertura de Requisitos'!C5:C150,$A11)</f>
        <v>4</v>
      </c>
      <c r="C11" s="43">
        <f>COUNTIFS('Cobertura de Requisitos'!C5:C150,$A11,'Cobertura de Requisitos'!J5:J150,"Completo")</f>
        <v>0</v>
      </c>
      <c r="D11" s="43">
        <f>COUNTIFS('Cobertura de Requisitos'!C5:C150,$A11,'Cobertura de Requisitos'!J5:J150,"Parcial")</f>
        <v>0</v>
      </c>
      <c r="E11" s="43">
        <f>COUNTIFS('Cobertura de Requisitos'!C5:C150,$A11,'Cobertura de Requisitos'!J5:J150,"Pendiente")</f>
        <v>4</v>
      </c>
      <c r="F11" s="13">
        <f>IFERROR(AVERAGEIFS('Cobertura de Requisitos'!I5:I150,'Cobertura de Requisitos'!C5:C150,$A11),0)</f>
        <v>0</v>
      </c>
    </row>
    <row r="14" ht="19.5" customHeight="1">
      <c r="A14" s="27" t="s">
        <v>147</v>
      </c>
      <c r="B14" s="2"/>
      <c r="C14" s="2"/>
      <c r="D14" s="2"/>
      <c r="E14" s="2"/>
      <c r="F14" s="3"/>
    </row>
    <row r="15">
      <c r="A15" s="5" t="s">
        <v>12</v>
      </c>
      <c r="B15" s="5" t="s">
        <v>143</v>
      </c>
      <c r="C15" s="5"/>
      <c r="D15" s="5"/>
      <c r="E15" s="5"/>
      <c r="F15" s="5" t="s">
        <v>146</v>
      </c>
    </row>
    <row r="16">
      <c r="A16" s="42" t="s">
        <v>28</v>
      </c>
      <c r="B16" s="43">
        <f>COUNTIF('Cobertura de Requisitos'!D4:D149,$A16)</f>
        <v>29</v>
      </c>
      <c r="C16" s="8"/>
      <c r="D16" s="8"/>
      <c r="E16" s="8"/>
      <c r="F16" s="13">
        <f>IFERROR(AVERAGEIFS('Cobertura de Requisitos'!I4:I149,'Cobertura de Requisitos'!D4:D149,$A16),0)</f>
        <v>0.1465517241</v>
      </c>
    </row>
    <row r="17">
      <c r="A17" s="42" t="s">
        <v>66</v>
      </c>
      <c r="B17" s="43">
        <f>COUNTIF('Cobertura de Requisitos'!D4:D149,$A17)</f>
        <v>6</v>
      </c>
      <c r="C17" s="8"/>
      <c r="D17" s="8"/>
      <c r="E17" s="8"/>
      <c r="F17" s="13">
        <f>IFERROR(AVERAGEIFS('Cobertura de Requisitos'!I4:I149,'Cobertura de Requisitos'!D4:D149,$A17),0)</f>
        <v>0</v>
      </c>
    </row>
    <row r="18">
      <c r="A18" s="42" t="s">
        <v>148</v>
      </c>
      <c r="B18" s="43">
        <f>COUNTIF('Cobertura de Requisitos'!D4:D149,$A18)</f>
        <v>0</v>
      </c>
      <c r="C18" s="8"/>
      <c r="D18" s="8"/>
      <c r="E18" s="8"/>
      <c r="F18" s="13">
        <f>IFERROR(AVERAGEIFS('Cobertura de Requisitos'!I4:I149,'Cobertura de Requisitos'!D4:D149,$A18),0)</f>
        <v>0</v>
      </c>
    </row>
    <row r="21" ht="19.5" customHeight="1">
      <c r="A21" s="27" t="s">
        <v>149</v>
      </c>
      <c r="B21" s="2"/>
      <c r="C21" s="2"/>
      <c r="D21" s="2"/>
      <c r="E21" s="2"/>
      <c r="F21" s="3"/>
    </row>
    <row r="22" ht="15.75" customHeight="1">
      <c r="A22" s="45" t="s">
        <v>150</v>
      </c>
      <c r="B22" s="46">
        <f>Dashboard!C6/Dashboard!C5</f>
        <v>0.4285714286</v>
      </c>
      <c r="C22" s="47"/>
    </row>
    <row r="23" ht="15.75" customHeight="1">
      <c r="A23" s="45" t="s">
        <v>151</v>
      </c>
      <c r="B23" s="46">
        <f>Dashboard!C7/Dashboard!C5</f>
        <v>0.5714285714</v>
      </c>
      <c r="C23" s="47"/>
    </row>
    <row r="24" ht="15.75" customHeight="1">
      <c r="A24" s="45" t="s">
        <v>152</v>
      </c>
      <c r="B24" s="48">
        <f>Dashboard!C9</f>
        <v>8</v>
      </c>
      <c r="C24" s="47"/>
    </row>
    <row r="25" ht="15.75" customHeight="1">
      <c r="A25" s="45" t="s">
        <v>153</v>
      </c>
      <c r="B25" s="48">
        <f>Dashboard!F5</f>
        <v>8</v>
      </c>
      <c r="C25" s="47"/>
    </row>
    <row r="26" ht="15.75" customHeight="1">
      <c r="A26" s="45" t="s">
        <v>154</v>
      </c>
      <c r="B26" s="48">
        <f>Dashboard!F6</f>
        <v>0</v>
      </c>
      <c r="C26" s="47"/>
    </row>
    <row r="27" ht="15.75" customHeight="1">
      <c r="A27" s="45" t="s">
        <v>155</v>
      </c>
      <c r="B27" s="48">
        <f>Dashboard!C9+Dashboard!F5+Dashboard!F6</f>
        <v>16</v>
      </c>
      <c r="C27" s="47"/>
    </row>
    <row r="28" ht="15.75" customHeight="1">
      <c r="A28" s="45" t="s">
        <v>156</v>
      </c>
      <c r="B28" s="48">
        <f>Dashboard!F13</f>
        <v>14</v>
      </c>
      <c r="C28" s="47"/>
    </row>
    <row r="29" ht="15.75" customHeight="1">
      <c r="A29" s="45" t="s">
        <v>157</v>
      </c>
      <c r="B29" s="48">
        <f>Dashboard!G13</f>
        <v>11</v>
      </c>
      <c r="C29" s="47"/>
    </row>
    <row r="30" ht="15.75" customHeight="1"/>
    <row r="31" ht="19.5" customHeight="1">
      <c r="A31" s="27" t="s">
        <v>158</v>
      </c>
      <c r="B31" s="2"/>
      <c r="C31" s="2"/>
      <c r="D31" s="2"/>
      <c r="E31" s="2"/>
      <c r="F31" s="3"/>
    </row>
    <row r="32" ht="15.75" customHeight="1">
      <c r="A32" s="42" t="s">
        <v>131</v>
      </c>
      <c r="B32" s="49">
        <f>Dashboard!I7</f>
        <v>0.02857142857</v>
      </c>
    </row>
    <row r="33" ht="15.75" customHeight="1">
      <c r="A33" s="42" t="s">
        <v>135</v>
      </c>
      <c r="B33" s="49">
        <f>Dashboard!I8</f>
        <v>0.02857142857</v>
      </c>
    </row>
    <row r="34" ht="15.75" customHeight="1">
      <c r="A34" s="42" t="s">
        <v>136</v>
      </c>
      <c r="B34" s="49">
        <f>Dashboard!I9</f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B25:C25"/>
    <mergeCell ref="B26:C26"/>
    <mergeCell ref="B27:C27"/>
    <mergeCell ref="B28:C28"/>
    <mergeCell ref="B29:C29"/>
    <mergeCell ref="A31:F31"/>
    <mergeCell ref="A1:F1"/>
    <mergeCell ref="A3:F3"/>
    <mergeCell ref="A14:F14"/>
    <mergeCell ref="A21:F21"/>
    <mergeCell ref="B22:C22"/>
    <mergeCell ref="B23:C23"/>
    <mergeCell ref="B24:C2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2026-08-05T03:33:00Z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3535C819516D49899E9BDF187BED890F_12</vt:lpwstr>
  </property>
  <property fmtid="{D5CDD505-2E9C-101B-9397-08002B2CF9AE}" pid="3" name="KSOProductBuildVer">
    <vt:lpwstr>3082-12.2.0.23206</vt:lpwstr>
  </property>
</Properties>
</file>