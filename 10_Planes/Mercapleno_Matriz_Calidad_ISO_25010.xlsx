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de Calidad" sheetId="1" r:id="rId4"/>
    <sheet state="visible" name="Adecuación Funcional" sheetId="2" r:id="rId5"/>
    <sheet state="visible" name="Eficiencia de Rendimiento" sheetId="3" r:id="rId6"/>
    <sheet state="visible" name="Compatibilidad" sheetId="4" r:id="rId7"/>
    <sheet state="visible" name="Usabilidad" sheetId="5" r:id="rId8"/>
    <sheet state="visible" name="Fiabilidad" sheetId="6" r:id="rId9"/>
    <sheet state="visible" name="Seguridad" sheetId="7" r:id="rId10"/>
    <sheet state="visible" name="Mantenibilidad" sheetId="8" r:id="rId11"/>
    <sheet state="visible" name="Portabilidad" sheetId="9" r:id="rId12"/>
    <sheet state="visible" name="Banco de Preguntas" sheetId="10" r:id="rId13"/>
  </sheets>
  <definedNames/>
  <calcPr/>
  <extLst>
    <ext uri="GoogleSheetsCustomDataVersion2">
      <go:sheetsCustomData xmlns:go="http://customooxmlschemas.google.com/" r:id="rId14" roundtripDataChecksum="IVg4OhBYqyXsZg8KX/PpWTaNSGiaHRV67ZppysEhe1g="/>
    </ext>
  </extLst>
</workbook>
</file>

<file path=xl/sharedStrings.xml><?xml version="1.0" encoding="utf-8"?>
<sst xmlns="http://schemas.openxmlformats.org/spreadsheetml/2006/main" count="302" uniqueCount="189">
  <si>
    <t>CONSOLIDADO DE EVALUACIÓN - ISO/IEC 25010</t>
  </si>
  <si>
    <t>Resumen general del porcentaje de calidad del software evaluado.</t>
  </si>
  <si>
    <t>Característica de Calidad</t>
  </si>
  <si>
    <t>Puntaje Máximo Posible</t>
  </si>
  <si>
    <t>Puntaje Obtenido</t>
  </si>
  <si>
    <t>Porcentaje de Calidad</t>
  </si>
  <si>
    <t>Adecuación Funcional</t>
  </si>
  <si>
    <t>Eficiencia de Rendimiento</t>
  </si>
  <si>
    <t>Compatibilidad</t>
  </si>
  <si>
    <t>Usabilidad</t>
  </si>
  <si>
    <t>Fiabilidad</t>
  </si>
  <si>
    <t>Seguridad</t>
  </si>
  <si>
    <t>Mantenibilidad</t>
  </si>
  <si>
    <t>Portabilidad</t>
  </si>
  <si>
    <t>PORCENTAJE TOTAL DE CALIDAD DEL SOFTWARE</t>
  </si>
  <si>
    <t>MATRIZ DE EVALUACIÓN: ADECUACIÓN FUNCIONAL</t>
  </si>
  <si>
    <t>Instrucciones: Asigne un peso del 1 al 5 según la importancia del criterio, y califique de 0 a 5 el cumplimiento.</t>
  </si>
  <si>
    <t>ID</t>
  </si>
  <si>
    <t>Subcaracterística</t>
  </si>
  <si>
    <t>Criterio de Evaluación / Ejemplo</t>
  </si>
  <si>
    <t>Peso (1-5)</t>
  </si>
  <si>
    <t>Calificación (0-5)</t>
  </si>
  <si>
    <t>Observación / Evidencia</t>
  </si>
  <si>
    <t>FUNC_COMP_01</t>
  </si>
  <si>
    <t>Completo funcional</t>
  </si>
  <si>
    <t>El sistema permite realizar todo el flujo de ventas desde el registro hasta la facturación sin omitir pasos críticos.</t>
  </si>
  <si>
    <r>
      <rPr>
        <rFont val="Calibri"/>
        <color rgb="FF000000"/>
        <sz val="11.0"/>
        <u/>
      </rPr>
      <t>El sistema genera el proceso satisfactoriamente sin erorres relacionados al funcionamiento final, mas sin embargo faltan detalles de paginacion, stock en tiempo real. "</t>
    </r>
    <r>
      <rPr>
        <rFont val="Calibri"/>
        <color rgb="FF1155CC"/>
        <sz val="11.0"/>
        <u/>
      </rPr>
      <t>https://soysena-my.sharepoint.com/:f:/g/personal/jjbc32965752_soy_sena_edu_co/IgDQWGOGZWWJQrhYR4Gg56SBAQUKVYcxdGYBodgjdCEcmlc?e=vmaDbp</t>
    </r>
    <r>
      <rPr>
        <rFont val="Calibri"/>
        <color rgb="FF000000"/>
        <sz val="11.0"/>
        <u/>
      </rPr>
      <t>"</t>
    </r>
  </si>
  <si>
    <t>FUNC_CORR_01</t>
  </si>
  <si>
    <t>Corrección funcional</t>
  </si>
  <si>
    <t>Los cálculos de impuestos y descuentos en el carrito de compras son exactos según las reglas de negocio.</t>
  </si>
  <si>
    <r>
      <rPr>
        <rFont val="Calibri"/>
        <color theme="1"/>
        <sz val="11.0"/>
      </rPr>
      <t>Los calculos son realizados correctamente. "</t>
    </r>
    <r>
      <rPr>
        <rFont val="Calibri"/>
        <color rgb="FF1155CC"/>
        <sz val="11.0"/>
        <u/>
      </rPr>
      <t>https://soysena-my.sharepoint.com/:f:/g/personal/jjbc32965752_soy_sena_edu_co/IgDP8SmnbX7nSpx-rdIFX962ASF5g2Er7qX2jUg-QCmLLjw?e=tdgOPH</t>
    </r>
    <r>
      <rPr>
        <rFont val="Calibri"/>
        <color theme="1"/>
        <sz val="11.0"/>
      </rPr>
      <t>"</t>
    </r>
  </si>
  <si>
    <t>FUNC_PERT_01</t>
  </si>
  <si>
    <t>Pertinencia funcional</t>
  </si>
  <si>
    <t>Las opciones del menú corresponden estrictamente a las tareas que el usuario necesita realizar en su rol.</t>
  </si>
  <si>
    <r>
      <rPr>
        <rFont val="Calibri"/>
        <color theme="1"/>
        <sz val="11.0"/>
      </rPr>
      <t>El sistema desde el modulo de autentificacion envia a diferentes pantallas. los cuales dejan estrictamente definidas sus funciones durante toda la navegacion. "</t>
    </r>
    <r>
      <rPr>
        <rFont val="Calibri"/>
        <color rgb="FF1155CC"/>
        <sz val="11.0"/>
        <u/>
      </rPr>
      <t>https://soysena-my.sharepoint.com/:f:/g/personal/jjbc32965752_soy_sena_edu_co/IgDnmsex73mFR7hReBVHIOh8AbE6rxGLRNFBSx1vl1PZJ9M?e=vZ2nHp</t>
    </r>
    <r>
      <rPr>
        <rFont val="Calibri"/>
        <color theme="1"/>
        <sz val="11.0"/>
      </rPr>
      <t>"</t>
    </r>
  </si>
  <si>
    <t>MATRIZ DE EVALUACIÓN: EFICIENCIA DE RENDIMIENTO</t>
  </si>
  <si>
    <t>REND_TEMP_01</t>
  </si>
  <si>
    <t>Comportamiento temporal</t>
  </si>
  <si>
    <t>El tiempo de respuesta del sistema al cargar la página de inicio es inferior a 2 segundos bajo carga normal.</t>
  </si>
  <si>
    <r>
      <rPr>
        <rFont val="Calibri"/>
        <color theme="1"/>
        <sz val="11.0"/>
      </rPr>
      <t>en cualquier vista ,el cargar la pagina se realiza en un tiempo estimado menor a la metrica solicitda en este campo  "</t>
    </r>
    <r>
      <rPr>
        <rFont val="Calibri"/>
        <color rgb="FF1155CC"/>
        <sz val="11.0"/>
        <u/>
      </rPr>
      <t>https://soysena-my.sharepoint.com/:f:/g/personal/jjbc32965752_soy_sena_edu_co/IgDnmsex73mFR7hReBVHIOh8AbE6rxGLRNFBSx1vl1PZJ9M?e=vZ2nHp</t>
    </r>
    <r>
      <rPr>
        <rFont val="Calibri"/>
        <color theme="1"/>
        <sz val="11.0"/>
      </rPr>
      <t>"</t>
    </r>
  </si>
  <si>
    <t>REND_UTIL_01</t>
  </si>
  <si>
    <t>Utilización de recursos</t>
  </si>
  <si>
    <t>El consumo de memoria RAM del servidor no supera el 60% durante la generación de reportes masivos.</t>
  </si>
  <si>
    <t>No se han realizado pruebas de este estilo.</t>
  </si>
  <si>
    <t>REND_CAPA_01</t>
  </si>
  <si>
    <t>Capacidad</t>
  </si>
  <si>
    <t>El sistema procesa correctamente 500 transacciones simultáneas sin degradar el servicio.</t>
  </si>
  <si>
    <t>MATRIZ DE EVALUACIÓN: COMPATIBILIDAD</t>
  </si>
  <si>
    <t>COMP_COEX_01</t>
  </si>
  <si>
    <t>Coexistencia</t>
  </si>
  <si>
    <t>La aplicación móvil funciona sin interferencias en dispositivos donde están instaladas apps de la competencia.</t>
  </si>
  <si>
    <t>EL funcionamiento de la APP movil, no depende sobre otras aplicaciones. realiza los procesos encargados satifactoriamente</t>
  </si>
  <si>
    <t>COMP_INTE_01</t>
  </si>
  <si>
    <t>Interoperabilidad</t>
  </si>
  <si>
    <t>La API del sistema se integra y comparte datos correctamente con el módulo de contabilidad externo mediante JSON.</t>
  </si>
  <si>
    <t>No maneja relacion con modulos de contabilidad externos, ya que el sistema no realiza un pago inmediato con pasarela de pago u algo parecido.</t>
  </si>
  <si>
    <t>MATRIZ DE EVALUACIÓN: USABILIDAD</t>
  </si>
  <si>
    <t>MATRIZ DE EVALUACIÓN: FIABILIDAD</t>
  </si>
  <si>
    <t>USAB_RECO_01</t>
  </si>
  <si>
    <t>Reconocimiento de adecuación</t>
  </si>
  <si>
    <t>El usuario identifica el propósito de la pantalla web en los primeros 5 segundos de visualización.</t>
  </si>
  <si>
    <t>FIAB_MADU_01</t>
  </si>
  <si>
    <r>
      <rPr>
        <rFont val="Calibri"/>
        <color theme="1"/>
        <sz val="11.0"/>
      </rPr>
      <t>El sistema es intuitivo, dando solo las funciones que el usuario tiene quea hacer independientemente de su rol . se puede evidenciar lo sencillo de su interfaz en cualquier pantalla. "</t>
    </r>
    <r>
      <rPr>
        <rFont val="Calibri"/>
        <color rgb="FF1155CC"/>
        <sz val="11.0"/>
        <u/>
      </rPr>
      <t>https://soysena-my.sharepoint.com/:f:/g/personal/jjbc32965752_soy_sena_edu_co/IgDnmsex73mFR7hReBVHIOh8AbE6rxGLRNFBSx1vl1PZJ9M?e=du2uMz</t>
    </r>
    <r>
      <rPr>
        <rFont val="Calibri"/>
        <color theme="1"/>
        <sz val="11.0"/>
      </rPr>
      <t>"</t>
    </r>
  </si>
  <si>
    <t>Madurez</t>
  </si>
  <si>
    <t>El sistema opera de forma continua en producción sin presentar caídas imprevistas durante la última semana.</t>
  </si>
  <si>
    <t>EL sistema no a salido a produccion, mas sin embargo en el momento de probar su funcionamiento. no presenta fallos repentinos que afecten la operacion del mismo,</t>
  </si>
  <si>
    <t>FIAB_DISP_01</t>
  </si>
  <si>
    <t>Disponibilidad</t>
  </si>
  <si>
    <t>La plataforma está operativa y accesible para los usuarios el 99.9% del tiempo contratado en el mes.</t>
  </si>
  <si>
    <t>FIAB_TOLE_01</t>
  </si>
  <si>
    <t>Tolerancia a fallos</t>
  </si>
  <si>
    <t>Si la conexión con la base de datos principal falla, el sistema conmuta automáticamente a la réplica de lectura.</t>
  </si>
  <si>
    <t>MATRIZ DE EVALUACIÓN: SEGURIDAD</t>
  </si>
  <si>
    <t>el sistema no se rompe en primera instancia, llega infomar en caso de tener el carrito lleno en una sesion activa de un cliente autenticado. mas sin embargo si se realiza una actualizacion de la informacion el sistema no trae la informacion.</t>
  </si>
  <si>
    <t>FIAB_RECU_01</t>
  </si>
  <si>
    <t>Capacidad de recuperación</t>
  </si>
  <si>
    <t>MATRIZ DE EVALUACIÓN: MANTENIBILIDAD</t>
  </si>
  <si>
    <t>Tras un corte de energía, el sistema restaura el estado de los datos al último punto de control guardado.</t>
  </si>
  <si>
    <t>USAB_APRE_01</t>
  </si>
  <si>
    <t>Aprendizaje</t>
  </si>
  <si>
    <t xml:space="preserve">EL sistema al fallos de cualquiera de las tecnologias que lo componen, al momento de una caida. muestra un mensaje claro, posteriormente , cuando se realice la actualiacion de la pantalla, el sistema volvera a la normalidad, si todo vuelve a funcionar con normalidad </t>
  </si>
  <si>
    <t>Un usuario nuevo puede completar un registro de perfil sin necesidad de consultar un manual de ayuda.</t>
  </si>
  <si>
    <t>SEGU_CONF_01</t>
  </si>
  <si>
    <t>Confidencialidad</t>
  </si>
  <si>
    <r>
      <rPr>
        <rFont val="Calibri"/>
        <color theme="1"/>
        <sz val="11.0"/>
      </rPr>
      <t>Los datos de registo son explicitos y sencillos "</t>
    </r>
    <r>
      <rPr>
        <rFont val="Calibri"/>
        <color rgb="FF1155CC"/>
        <sz val="11.0"/>
        <u/>
      </rPr>
      <t>https://soysena-my.sharepoint.com/:f:/g/personal/jjbc32965752_soy_sena_edu_co/IgC6-YVz2CrHSoPTnuW7Xu0nAdoatvcuDGbAKqjZt4HSn9g?e=YDjPb0</t>
    </r>
    <r>
      <rPr>
        <rFont val="Calibri"/>
        <color theme="1"/>
        <sz val="11.0"/>
      </rPr>
      <t>"</t>
    </r>
  </si>
  <si>
    <t>Las contraseñas de los usuarios están encriptadas con un algoritmo robusto (ej. bcrypt) en la base de datos.</t>
  </si>
  <si>
    <t>MANT_MODU_01</t>
  </si>
  <si>
    <t xml:space="preserve">la contraseña es encriptada por el modulo de autenfificacion, el engardo de registro, inicio de sesion, manteinibilidad de la sesion, redireccion por roles y demas funciones. </t>
  </si>
  <si>
    <t>Modularidad</t>
  </si>
  <si>
    <t>SEGU_INTE_01</t>
  </si>
  <si>
    <t>Integridad</t>
  </si>
  <si>
    <t>Un cambio en el módulo de facturación no afecta ni altera el funcionamiento del módulo de inventarios.</t>
  </si>
  <si>
    <t>El sistema evita modificaciones no autorizadas en los datos mediante validaciones en el servidor (backend).</t>
  </si>
  <si>
    <t>antes de la comunicacion con los endpoints, se realiza diferentes filtros de seguridad, desde aplicacion de CORS, a diractamente esagminacion del token que se le da a cada usuario para interactuar con el sistema.</t>
  </si>
  <si>
    <t>Los modulos funcionan independiente por medio de codificacion del proveedor del ainformacion y la misma IU mas sin embargo, comparten tablas como lo puede  ser productos y stock de productos. el cual se afecta al haber un cambio de informacion, mientras cada modulo no presente problemas al registrar la informacion correcta , no se afectaran entre ellos.</t>
  </si>
  <si>
    <t>SEGU_NORE_01</t>
  </si>
  <si>
    <t>No repudio</t>
  </si>
  <si>
    <t>USAB_OPER_01</t>
  </si>
  <si>
    <t>MANT_REUS_01</t>
  </si>
  <si>
    <t>Cada transacción financiera registra de forma inalterable el ID del usuario, fecha y hora en el log de auditoría.</t>
  </si>
  <si>
    <t>Operabilidad</t>
  </si>
  <si>
    <t>Reusabilidad</t>
  </si>
  <si>
    <t>El sistema ofrece atajos de teclado para las funciones más frecuentes, facilitando el trabajo continuo.</t>
  </si>
  <si>
    <t>El componente visual de calendario se utiliza en múltiples formularios del sistema sin duplicar código.</t>
  </si>
  <si>
    <t>Se realiza un registro de entradas y salidas, tanto como en ventas en especifico. todo queda debidamente guardado en las tablas esperadas.</t>
  </si>
  <si>
    <t>SEGU_RESP_01</t>
  </si>
  <si>
    <t>Responsabilidad</t>
  </si>
  <si>
    <t>los atajos naturales y comunes se aceptan durante la navegacion. ("ctrl+c","ctrl+v", "ctrl+z")</t>
  </si>
  <si>
    <t>en la mayoria de registro y cruds que requiera la capturacion de una fecha que deba rellenar el usuario permite la opcion de este componente visual.</t>
  </si>
  <si>
    <t>El sistema registra de manera clara qué acciones ejecutó cada administrador para poder auditar incidentes.</t>
  </si>
  <si>
    <t>USAB_PROT_01</t>
  </si>
  <si>
    <t>MANT_ANAL_01</t>
  </si>
  <si>
    <t>Protección contra errores de usuario</t>
  </si>
  <si>
    <t>Los cambios no se vinculan a administradores</t>
  </si>
  <si>
    <t>Analizabilidad</t>
  </si>
  <si>
    <t>El sistema pide confirmación antes de eliminar permanentemente un registro de la base de datos.</t>
  </si>
  <si>
    <t>SEGU_AUTE_01</t>
  </si>
  <si>
    <t>Los logs de error detallan la línea de código y el archivo exacto donde ocurrió una excepción para su diagnóstico.</t>
  </si>
  <si>
    <t>Autenticidad</t>
  </si>
  <si>
    <t>El sistema valida tokens digitales (JWT) firmados para confirmar que las peticiones provienen de usuarios válidos.</t>
  </si>
  <si>
    <r>
      <rPr>
        <rFont val="Calibri"/>
        <color theme="1"/>
        <sz val="11.0"/>
      </rPr>
      <t>En cualquier crud con fin administrativo, el cual tenga aceeso a eliminar registro. Realiza una confirmacion de la accion. "</t>
    </r>
    <r>
      <rPr>
        <rFont val="Calibri"/>
        <color rgb="FF1155CC"/>
        <sz val="11.0"/>
        <u/>
      </rPr>
      <t>https://soysena-my.sharepoint.com/:i:/g/personal/jjbc32965752_soy_sena_edu_co/IQCNmlnaa050QJMOJzgvivvHATjVAJvD8niqLAHPqjHkGMU?e=SiE3M7</t>
    </r>
    <r>
      <rPr>
        <rFont val="Calibri"/>
        <color theme="1"/>
        <sz val="11.0"/>
      </rPr>
      <t xml:space="preserve">" </t>
    </r>
  </si>
  <si>
    <t>Los logs de errores definidos, son preventidos y ubicados en donde puedan ofrecer exactamente la ubicacion del error.</t>
  </si>
  <si>
    <t>Este es una de los principales filtros de seguridad aplicados a nivel global para todos los endpoints del sistema.</t>
  </si>
  <si>
    <t>MANT_MODI_01</t>
  </si>
  <si>
    <t>Modificabilidad</t>
  </si>
  <si>
    <t>Agregar un nuevo campo al formulario de registro requiere modificaciones mínimas en la base de datos y backend.</t>
  </si>
  <si>
    <t>al estar todo vinculado, si esto es absolutamente necesario</t>
  </si>
  <si>
    <t>MANT_PRUE_01</t>
  </si>
  <si>
    <t>Capacidad de prueba</t>
  </si>
  <si>
    <t>El código fuente cuenta con pruebas unitarias automatizadas que cubren al menos el 80% de las funciones.</t>
  </si>
  <si>
    <t>Cada desarrollador cuenta con sus pruebas unitarias de sus modulos</t>
  </si>
  <si>
    <t>USAB_ESTE_01</t>
  </si>
  <si>
    <t>Estética de la interfaz de usuario</t>
  </si>
  <si>
    <t>El diseño visual mantiene una paleta de colores coherente y un espaciado que evita la fatiga visual.</t>
  </si>
  <si>
    <r>
      <rPr>
        <rFont val="Calibri"/>
        <color theme="1"/>
        <sz val="11.0"/>
      </rPr>
      <t>En cualquier pagina del sistema, se utilizan la misma paleta de colores, sumando que se busca agregar una paleta de colores uniforme en todo el sistema "</t>
    </r>
    <r>
      <rPr>
        <rFont val="Calibri"/>
        <color rgb="FF1155CC"/>
        <sz val="11.0"/>
        <u/>
      </rPr>
      <t>https://soysena-my.sharepoint.com/:f:/g/personal/jjbc32965752_soy_sena_edu_co/IgDnmsex73mFR7hReBVHIOh8AbE6rxGLRNFBSx1vl1PZJ9M?e=9J3CDa</t>
    </r>
    <r>
      <rPr>
        <rFont val="Calibri"/>
        <color theme="1"/>
        <sz val="11.0"/>
      </rPr>
      <t>"</t>
    </r>
  </si>
  <si>
    <t>USAB_ACCE_01</t>
  </si>
  <si>
    <t>Accesibilidad</t>
  </si>
  <si>
    <t>El sitio web cumple con las pautas WCAG, permitiendo la navegación con lectores de pantalla para personas visuales.</t>
  </si>
  <si>
    <t>EL sistema es sencillo, adaptado para su funcionamiento independientemente de el dispositvo.</t>
  </si>
  <si>
    <t>MATRIZ DE EVALUACIÓN: PORTABILIDAD</t>
  </si>
  <si>
    <t>PORT_ADAP_01</t>
  </si>
  <si>
    <t>Adaptabilidad</t>
  </si>
  <si>
    <t>La aplicación web se adapta y visualiza correctamente en pantallas de laptops, tablets y smartphones.</t>
  </si>
  <si>
    <t>La IU se diseño con el objetivo de poder adapatar la informacion independientmente de donde se muestre.</t>
  </si>
  <si>
    <t>PORT_INST_01</t>
  </si>
  <si>
    <t>Facilidad de instalación</t>
  </si>
  <si>
    <t>El sistema se puede desplegar en un servidor nuevo en menos de una hora usando contenedores Docker.</t>
  </si>
  <si>
    <t>cumple, a la hora de armar los contenedores con un archivo que inicie el bacckend , el frontend y la base de datos.este proceso se demora 1600 segundos( 26 minutos y 40 segundos).</t>
  </si>
  <si>
    <t>PORT_SUST_01</t>
  </si>
  <si>
    <t>BANCO DE PREGUNTAS PARA APRENDICES</t>
  </si>
  <si>
    <t>Facilidad de sustitución</t>
  </si>
  <si>
    <t>Cuestionario guía para auditorías de calidad de software basadas en ISO 25010.</t>
  </si>
  <si>
    <t>La aplicación puede reemplazar al software anterior importando de forma directa la base de datos vieja.</t>
  </si>
  <si>
    <t>N°</t>
  </si>
  <si>
    <t>Pregunta de Evaluación</t>
  </si>
  <si>
    <t>Característica Asociada</t>
  </si>
  <si>
    <t>En caso de que se realicen cambios por generacion de campos en el registro de algun crud o funcion encargada de realizar los mismos (cosa que se cree poco probable), no podria funcionar .</t>
  </si>
  <si>
    <t>Subcaracterística Asociada</t>
  </si>
  <si>
    <t>¿El sistema incluye todas las funciones especificadas en los requisitos iniciales?</t>
  </si>
  <si>
    <t>¿El software arroja resultados matemáticos correctos en los reportes contables?</t>
  </si>
  <si>
    <t>¿Las opciones visibles ayudan directamente al usuario a cumplir sus metas de negocio?</t>
  </si>
  <si>
    <t>¿La búsqueda de productos tarda menos de un segundo en mostrar resultados?</t>
  </si>
  <si>
    <t>¿El sistema libera la memoria RAM después de cerrar un reporte complejo?</t>
  </si>
  <si>
    <t>¿Soporta el aumento repentino de usuarios en fechas de alta demanda (Black Friday)?</t>
  </si>
  <si>
    <t>¿Puede ejecutarse al mismo tiempo que el antivirus sin ralentizar el equipo?</t>
  </si>
  <si>
    <t>¿Los datos exportados en Excel se abren correctamente en otras suites de oficina?</t>
  </si>
  <si>
    <t>¿Los iconos utilizados representan claramente la acción que van a realizar?</t>
  </si>
  <si>
    <t>¿Los mensajes de bienvenida guían intuitivamente al usuario nuevo?</t>
  </si>
  <si>
    <t>¿Es fácil navegar por el sitio utilizando únicamente el teclado?</t>
  </si>
  <si>
    <t>¿El sistema previene que se envíe un formulario vacío resaltando los campos?</t>
  </si>
  <si>
    <t>¿El tamaño de la fuente y los contrastes cumplen con normas de diseño limpio?</t>
  </si>
  <si>
    <t>¿Tiene la opción de activar subtítulos o descripciones de audio para videos integrados?</t>
  </si>
  <si>
    <t>¿El software funciona sin colgarse durante jornadas laborales de 8 horas consecutivas?</t>
  </si>
  <si>
    <t>¿Existe un canal alterno de acceso si el servidor principal falla?</t>
  </si>
  <si>
    <t>¿El sistema sigue funcionando si se desconecta momentáneamente la red de internet?</t>
  </si>
  <si>
    <t>¿Cuánto tiempo tarda el sistema en volver a estar en línea tras reiniciar el servidor?</t>
  </si>
  <si>
    <t>¿La sesión de usuario expira automáticamente tras 15 minutos de inactividad?</t>
  </si>
  <si>
    <t>¿Se bloquea la edición de campos históricos una vez cerrado el mes contable?</t>
  </si>
  <si>
    <t>¿Se puede demostrar legalmente qué usuario aprobó un presupuesto?</t>
  </si>
  <si>
    <t>¿El sistema permite rastrear los intentos fallidos de inicio de sesión por dirección IP?</t>
  </si>
  <si>
    <t>¿La plataforma exige el uso de autenticación de dos factores (2FA)?</t>
  </si>
  <si>
    <t>¿El código fuente está dividido en capas (Controlador, Servicio, Repositorio)?</t>
  </si>
  <si>
    <t>¿Las funciones de formato de fechas se encuentran centralizadas en una sola librería?</t>
  </si>
  <si>
    <t>¿Se generan archivos log diarios estructurados con niveles (INFO, WARN, ERROR)?</t>
  </si>
  <si>
    <t>¿El sistema permite cambiar el proveedor de base de datos sin reescribir todo el código?</t>
  </si>
  <si>
    <t>¿Se pueden ejecutar las pruebas del sistema de forma automática en un pipeline de CI/CD?</t>
  </si>
  <si>
    <t>¿La aplicación se ejecuta de igual forma en sistemas operativos Windows, Linux y macOS?</t>
  </si>
  <si>
    <t>¿El instalador configura automáticamente las dependencias necesarias?</t>
  </si>
  <si>
    <t>¿Es posible migrar los datos al nuevo sistema sin pérdida de información histórica?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</si>
</sst>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6.0"/>
      <color rgb="FF1F4E78"/>
      <name val="Calibri"/>
    </font>
    <font>
      <i/>
      <sz val="11.0"/>
      <color theme="1"/>
      <name val="Calibri"/>
    </font>
    <font>
      <b/>
      <sz val="11.0"/>
      <color rgb="FFFFFFFF"/>
      <name val="Calibri"/>
    </font>
    <font>
      <b/>
      <sz val="11.0"/>
      <color rgb="FF000000"/>
      <name val="Calibri"/>
    </font>
    <font>
      <sz val="11.0"/>
      <color rgb="FF000000"/>
      <name val="Calibri"/>
    </font>
    <font>
      <b/>
      <sz val="12.0"/>
      <color rgb="FFFFFFFF"/>
      <name val="Calibri"/>
    </font>
    <font>
      <i/>
      <sz val="10.0"/>
      <color theme="1"/>
      <name val="Calibri"/>
    </font>
    <font>
      <sz val="11.0"/>
      <color theme="1"/>
      <name val="Calibri"/>
    </font>
    <font>
      <u/>
      <sz val="11.0"/>
      <color theme="1"/>
      <name val="Calibri"/>
    </font>
    <font>
      <u/>
      <sz val="11.0"/>
      <color theme="1"/>
      <name val="Calibri"/>
    </font>
  </fonts>
  <fills count="5">
    <fill>
      <patternFill patternType="none"/>
    </fill>
    <fill>
      <patternFill patternType="lightGray"/>
    </fill>
    <fill>
      <patternFill patternType="solid">
        <fgColor rgb="FF2C5234"/>
        <bgColor rgb="FF2C5234"/>
      </patternFill>
    </fill>
    <fill>
      <patternFill patternType="solid">
        <fgColor rgb="FFC00000"/>
        <bgColor rgb="FFC00000"/>
      </patternFill>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1" fillId="0" fontId="4" numFmtId="0" xfId="0" applyBorder="1" applyFont="1"/>
    <xf borderId="1" fillId="0" fontId="5" numFmtId="0" xfId="0" applyAlignment="1" applyBorder="1" applyFont="1">
      <alignment horizontal="center" vertical="center"/>
    </xf>
    <xf borderId="1" fillId="0" fontId="4" numFmtId="164" xfId="0" applyAlignment="1" applyBorder="1" applyFont="1" applyNumberFormat="1">
      <alignment horizontal="center" vertical="center"/>
    </xf>
    <xf borderId="1" fillId="2" fontId="3" numFmtId="0" xfId="0" applyBorder="1" applyFont="1"/>
    <xf borderId="1" fillId="3" fontId="6" numFmtId="164" xfId="0" applyAlignment="1" applyBorder="1" applyFill="1" applyFont="1" applyNumberFormat="1">
      <alignment horizontal="center" vertical="center"/>
    </xf>
    <xf borderId="0" fillId="0" fontId="7" numFmtId="0" xfId="0" applyFont="1"/>
    <xf borderId="1" fillId="4" fontId="3" numFmtId="0" xfId="0" applyAlignment="1" applyBorder="1" applyFill="1" applyFont="1">
      <alignment horizontal="center" vertical="center"/>
    </xf>
    <xf borderId="1" fillId="0" fontId="5"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shrinkToFit="0" wrapText="1"/>
    </xf>
    <xf borderId="1" fillId="0" fontId="8" numFmtId="0" xfId="0" applyAlignment="1" applyBorder="1" applyFont="1">
      <alignment horizontal="center" vertical="center"/>
    </xf>
    <xf borderId="1" fillId="0" fontId="9" numFmtId="0" xfId="0" applyAlignment="1" applyBorder="1" applyFont="1">
      <alignment readingOrder="0" shrinkToFit="0" vertical="center" wrapText="1"/>
    </xf>
    <xf borderId="1" fillId="0" fontId="10" numFmtId="0" xfId="0" applyAlignment="1" applyBorder="1" applyFont="1">
      <alignment shrinkToFit="0" vertical="center" wrapText="1"/>
    </xf>
    <xf borderId="1" fillId="0" fontId="8" numFmtId="0" xfId="0" applyBorder="1" applyFont="1"/>
    <xf borderId="1" fillId="0" fontId="8" numFmtId="0" xfId="0" applyAlignment="1" applyBorder="1" applyFont="1">
      <alignment shrinkToFit="0" vertical="center" wrapText="1"/>
    </xf>
    <xf borderId="1" fillId="0" fontId="5" numFmtId="0" xfId="0" applyAlignment="1" applyBorder="1" applyFont="1">
      <alignment shrinkToFit="0" vertical="center" wrapText="1"/>
    </xf>
    <xf borderId="1" fillId="0" fontId="8" numFmtId="0" xfId="0" applyAlignment="1" applyBorder="1" applyFont="1">
      <alignment shrinkToFit="0" wrapText="1"/>
    </xf>
    <xf borderId="1" fillId="0" fontId="8" numFmtId="0" xfId="0" applyAlignment="1" applyBorder="1" applyFont="1">
      <alignment readingOrder="0" shrinkToFit="0" wrapText="1"/>
    </xf>
    <xf borderId="1" fillId="0" fontId="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QWGOGZWWJQrhYR4Gg56SBAQUKVYcxdGYBodgjdCEcmlc?e=vmaDbp" TargetMode="External"/><Relationship Id="rId2" Type="http://schemas.openxmlformats.org/officeDocument/2006/relationships/hyperlink" Target="https://soysena-my.sharepoint.com/:f:/g/personal/jjbc32965752_soy_sena_edu_co/IgDP8SmnbX7nSpx-rdIFX962ASF5g2Er7qX2jUg-QCmLLjw?e=tdgOPH" TargetMode="External"/><Relationship Id="rId3" Type="http://schemas.openxmlformats.org/officeDocument/2006/relationships/hyperlink" Target="https://soysena-my.sharepoint.com/:f:/g/personal/jjbc32965752_soy_sena_edu_co/IgDnmsex73mFR7hReBVHIOh8AbE6rxGLRNFBSx1vl1PZJ9M?e=vZ2nH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nmsex73mFR7hReBVHIOh8AbE6rxGLRNFBSx1vl1PZJ9M?e=vZ2nH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nmsex73mFR7hReBVHIOh8AbE6rxGLRNFBSx1vl1PZJ9M?e=du2uMz" TargetMode="External"/><Relationship Id="rId2" Type="http://schemas.openxmlformats.org/officeDocument/2006/relationships/hyperlink" Target="https://soysena-my.sharepoint.com/:f:/g/personal/jjbc32965752_soy_sena_edu_co/IgC6-YVz2CrHSoPTnuW7Xu0nAdoatvcuDGbAKqjZt4HSn9g?e=YDjPb0" TargetMode="External"/><Relationship Id="rId3" Type="http://schemas.openxmlformats.org/officeDocument/2006/relationships/hyperlink" Target="https://soysena-my.sharepoint.com/:i:/g/personal/jjbc32965752_soy_sena_edu_co/IQCNmlnaa050QJMOJzgvivvHATjVAJvD8niqLAHPqjHkGMU?e=SiE3M7" TargetMode="External"/><Relationship Id="rId4" Type="http://schemas.openxmlformats.org/officeDocument/2006/relationships/hyperlink" Target="https://soysena-my.sharepoint.com/:f:/g/personal/jjbc32965752_soy_sena_edu_co/IgDnmsex73mFR7hReBVHIOh8AbE6rxGLRNFBSx1vl1PZJ9M?e=9J3CDa"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0"/>
    <col customWidth="1" min="3" max="3" width="49.0"/>
    <col customWidth="1" min="4" max="4" width="60.0"/>
    <col customWidth="1" min="5" max="5" width="26.0"/>
    <col customWidth="1" min="6" max="26" width="8.71"/>
  </cols>
  <sheetData>
    <row r="2">
      <c r="B2" s="1" t="s">
        <v>0</v>
      </c>
    </row>
    <row r="3">
      <c r="B3" s="2" t="s">
        <v>1</v>
      </c>
    </row>
    <row r="5">
      <c r="B5" s="3" t="s">
        <v>2</v>
      </c>
      <c r="C5" s="3" t="s">
        <v>3</v>
      </c>
      <c r="D5" s="3" t="s">
        <v>4</v>
      </c>
      <c r="E5" s="3" t="s">
        <v>5</v>
      </c>
    </row>
    <row r="6">
      <c r="B6" s="4" t="s">
        <v>6</v>
      </c>
      <c r="C6" s="5">
        <f>SUM('Adecuación Funcional'!$E$6:$E$8)*5</f>
        <v>75</v>
      </c>
      <c r="D6" s="5">
        <f>SUMPRODUCT('Adecuación Funcional'!$E$6:$E$8,'Adecuación Funcional'!$F$6:$F$8)</f>
        <v>70</v>
      </c>
      <c r="E6" s="6">
        <f t="shared" ref="E6:E14" si="1">IF(C6&gt;0, D6/C6, 0)</f>
        <v>0.9333333333</v>
      </c>
    </row>
    <row r="7">
      <c r="B7" s="4" t="s">
        <v>7</v>
      </c>
      <c r="C7" s="5">
        <f>SUM('Eficiencia de Rendimiento'!$E$6:$E$8)*5</f>
        <v>75</v>
      </c>
      <c r="D7" s="5">
        <f>SUMPRODUCT('Eficiencia de Rendimiento'!$E$6:$E$8,'Eficiencia de Rendimiento'!$F$6:$F$8)</f>
        <v>65</v>
      </c>
      <c r="E7" s="6">
        <f t="shared" si="1"/>
        <v>0.8666666667</v>
      </c>
    </row>
    <row r="8">
      <c r="B8" s="4" t="s">
        <v>8</v>
      </c>
      <c r="C8" s="5">
        <f>SUM(Compatibilidad!$E$6:$E$7)*5</f>
        <v>50</v>
      </c>
      <c r="D8" s="5">
        <f>SUMPRODUCT(Compatibilidad!$E$6:$E$7,Compatibilidad!$F$6:$F$7)</f>
        <v>45</v>
      </c>
      <c r="E8" s="6">
        <f t="shared" si="1"/>
        <v>0.9</v>
      </c>
    </row>
    <row r="9">
      <c r="B9" s="4" t="s">
        <v>9</v>
      </c>
      <c r="C9" s="5">
        <f>SUM(Usabilidad!$E$6:$E$11)*5</f>
        <v>150</v>
      </c>
      <c r="D9" s="5">
        <f>SUMPRODUCT(Usabilidad!$E$6:$E$11,Usabilidad!$F$6:$F$11)</f>
        <v>145</v>
      </c>
      <c r="E9" s="6">
        <f t="shared" si="1"/>
        <v>0.9666666667</v>
      </c>
    </row>
    <row r="10">
      <c r="B10" s="4" t="s">
        <v>10</v>
      </c>
      <c r="C10" s="5">
        <f>SUM(Fiabilidad!$E$6:$E$9)*5</f>
        <v>100</v>
      </c>
      <c r="D10" s="5">
        <f>SUMPRODUCT(Fiabilidad!$E$6:$E$9,Fiabilidad!$F$6:$F$9)</f>
        <v>80</v>
      </c>
      <c r="E10" s="6">
        <f t="shared" si="1"/>
        <v>0.8</v>
      </c>
    </row>
    <row r="11">
      <c r="B11" s="4" t="s">
        <v>11</v>
      </c>
      <c r="C11" s="5">
        <f>SUM(Seguridad!$E$6:$E$10)*5</f>
        <v>125</v>
      </c>
      <c r="D11" s="5">
        <f>SUMPRODUCT(Seguridad!$E$6:$E$10,Seguridad!$F$6:$F$10)</f>
        <v>95</v>
      </c>
      <c r="E11" s="6">
        <f t="shared" si="1"/>
        <v>0.76</v>
      </c>
    </row>
    <row r="12">
      <c r="B12" s="4" t="s">
        <v>12</v>
      </c>
      <c r="C12" s="5">
        <f>SUM(Mantenibilidad!$E$6:$E$10)*5</f>
        <v>125</v>
      </c>
      <c r="D12" s="5">
        <f>SUMPRODUCT(Mantenibilidad!$E$6:$E$10,Mantenibilidad!$F$6:$F$10)</f>
        <v>110</v>
      </c>
      <c r="E12" s="6">
        <f t="shared" si="1"/>
        <v>0.88</v>
      </c>
    </row>
    <row r="13">
      <c r="B13" s="4" t="s">
        <v>13</v>
      </c>
      <c r="C13" s="5">
        <f>SUM(Portabilidad!$E$6:$E$8)*5</f>
        <v>75</v>
      </c>
      <c r="D13" s="5">
        <f>SUMPRODUCT(Portabilidad!$E$6:$E$8,Portabilidad!$F$6:$F$8)</f>
        <v>60</v>
      </c>
      <c r="E13" s="6">
        <f t="shared" si="1"/>
        <v>0.8</v>
      </c>
    </row>
    <row r="14">
      <c r="B14" s="7" t="s">
        <v>14</v>
      </c>
      <c r="C14" s="3">
        <f t="shared" ref="C14:D14" si="2">SUM(C6:C13)</f>
        <v>775</v>
      </c>
      <c r="D14" s="3">
        <f t="shared" si="2"/>
        <v>670</v>
      </c>
      <c r="E14" s="8">
        <f t="shared" si="1"/>
        <v>0.864516129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4.0"/>
    <col customWidth="1" min="4" max="4" width="50.0"/>
    <col customWidth="1" min="5" max="5" width="13.0"/>
    <col customWidth="1" min="6" max="6" width="21.0"/>
    <col customWidth="1" min="7" max="7" width="87.14"/>
    <col customWidth="1" min="8" max="26" width="8.71"/>
  </cols>
  <sheetData>
    <row r="2">
      <c r="B2" s="1" t="s">
        <v>15</v>
      </c>
    </row>
    <row r="3">
      <c r="B3" s="9" t="s">
        <v>16</v>
      </c>
    </row>
    <row r="5">
      <c r="B5" s="10" t="s">
        <v>17</v>
      </c>
      <c r="C5" s="10" t="s">
        <v>18</v>
      </c>
      <c r="D5" s="10" t="s">
        <v>19</v>
      </c>
      <c r="E5" s="10" t="s">
        <v>20</v>
      </c>
      <c r="F5" s="10" t="s">
        <v>21</v>
      </c>
      <c r="G5" s="10" t="s">
        <v>22</v>
      </c>
    </row>
    <row r="6" ht="67.5" customHeight="1">
      <c r="B6" s="11" t="s">
        <v>23</v>
      </c>
      <c r="C6" s="12" t="s">
        <v>24</v>
      </c>
      <c r="D6" s="13" t="s">
        <v>25</v>
      </c>
      <c r="E6" s="14">
        <v>5.0</v>
      </c>
      <c r="F6" s="14">
        <v>4.0</v>
      </c>
      <c r="G6" s="15" t="s">
        <v>26</v>
      </c>
    </row>
    <row r="7" ht="55.5" customHeight="1">
      <c r="B7" s="11" t="s">
        <v>27</v>
      </c>
      <c r="C7" s="12" t="s">
        <v>28</v>
      </c>
      <c r="D7" s="13" t="s">
        <v>29</v>
      </c>
      <c r="E7" s="14">
        <v>5.0</v>
      </c>
      <c r="F7" s="14">
        <v>5.0</v>
      </c>
      <c r="G7" s="16" t="s">
        <v>30</v>
      </c>
    </row>
    <row r="8" ht="59.25" customHeight="1">
      <c r="B8" s="11" t="s">
        <v>31</v>
      </c>
      <c r="C8" s="12" t="s">
        <v>32</v>
      </c>
      <c r="D8" s="13" t="s">
        <v>33</v>
      </c>
      <c r="E8" s="14">
        <v>5.0</v>
      </c>
      <c r="F8" s="14">
        <v>5.0</v>
      </c>
      <c r="G8" s="16"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
    <hyperlink r:id="rId2" ref="G7"/>
    <hyperlink r:id="rId3" ref="G8"/>
  </hyperlinks>
  <printOptions/>
  <pageMargins bottom="1.0" footer="0.0" header="0.0" left="0.75" right="0.75" top="1.0"/>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6.0"/>
    <col customWidth="1" min="4" max="4" width="50.0"/>
    <col customWidth="1" min="5" max="5" width="13.0"/>
    <col customWidth="1" min="6" max="6" width="21.0"/>
    <col customWidth="1" min="7" max="7" width="60.14"/>
    <col customWidth="1" min="8" max="26" width="8.71"/>
  </cols>
  <sheetData>
    <row r="2">
      <c r="B2" s="1" t="s">
        <v>35</v>
      </c>
    </row>
    <row r="3">
      <c r="B3" s="9" t="s">
        <v>16</v>
      </c>
    </row>
    <row r="5">
      <c r="B5" s="10" t="s">
        <v>17</v>
      </c>
      <c r="C5" s="10" t="s">
        <v>18</v>
      </c>
      <c r="D5" s="10" t="s">
        <v>19</v>
      </c>
      <c r="E5" s="10" t="s">
        <v>20</v>
      </c>
      <c r="F5" s="10" t="s">
        <v>21</v>
      </c>
      <c r="G5" s="10" t="s">
        <v>22</v>
      </c>
    </row>
    <row r="6" ht="76.5" customHeight="1">
      <c r="B6" s="11" t="s">
        <v>36</v>
      </c>
      <c r="C6" s="12" t="s">
        <v>37</v>
      </c>
      <c r="D6" s="13" t="s">
        <v>38</v>
      </c>
      <c r="E6" s="14">
        <v>5.0</v>
      </c>
      <c r="F6" s="14">
        <v>5.0</v>
      </c>
      <c r="G6" s="16" t="s">
        <v>39</v>
      </c>
    </row>
    <row r="7">
      <c r="B7" s="11" t="s">
        <v>40</v>
      </c>
      <c r="C7" s="12" t="s">
        <v>41</v>
      </c>
      <c r="D7" s="13" t="s">
        <v>42</v>
      </c>
      <c r="E7" s="14">
        <v>5.0</v>
      </c>
      <c r="F7" s="14">
        <v>4.0</v>
      </c>
      <c r="G7" s="17" t="s">
        <v>43</v>
      </c>
    </row>
    <row r="8">
      <c r="B8" s="11" t="s">
        <v>44</v>
      </c>
      <c r="C8" s="12" t="s">
        <v>45</v>
      </c>
      <c r="D8" s="13" t="s">
        <v>46</v>
      </c>
      <c r="E8" s="14">
        <v>5.0</v>
      </c>
      <c r="F8" s="14">
        <v>4.0</v>
      </c>
      <c r="G8" s="17"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0.0"/>
    <col customWidth="1" min="4" max="4" width="50.0"/>
    <col customWidth="1" min="5" max="5" width="13.0"/>
    <col customWidth="1" min="6" max="6" width="21.0"/>
    <col customWidth="1" min="7" max="7" width="78.43"/>
    <col customWidth="1" min="8" max="26" width="8.71"/>
  </cols>
  <sheetData>
    <row r="2">
      <c r="B2" s="1" t="s">
        <v>47</v>
      </c>
    </row>
    <row r="3">
      <c r="B3" s="9" t="s">
        <v>16</v>
      </c>
    </row>
    <row r="5">
      <c r="B5" s="10" t="s">
        <v>17</v>
      </c>
      <c r="C5" s="10" t="s">
        <v>18</v>
      </c>
      <c r="D5" s="10" t="s">
        <v>19</v>
      </c>
      <c r="E5" s="10" t="s">
        <v>20</v>
      </c>
      <c r="F5" s="10" t="s">
        <v>21</v>
      </c>
      <c r="G5" s="10" t="s">
        <v>22</v>
      </c>
    </row>
    <row r="6" ht="83.25" customHeight="1">
      <c r="B6" s="11" t="s">
        <v>48</v>
      </c>
      <c r="C6" s="12" t="s">
        <v>49</v>
      </c>
      <c r="D6" s="13" t="s">
        <v>50</v>
      </c>
      <c r="E6" s="14">
        <v>5.0</v>
      </c>
      <c r="F6" s="14">
        <v>5.0</v>
      </c>
      <c r="G6" s="18" t="s">
        <v>51</v>
      </c>
    </row>
    <row r="7" ht="70.5" customHeight="1">
      <c r="B7" s="11" t="s">
        <v>52</v>
      </c>
      <c r="C7" s="12" t="s">
        <v>53</v>
      </c>
      <c r="D7" s="13" t="s">
        <v>54</v>
      </c>
      <c r="E7" s="14">
        <v>5.0</v>
      </c>
      <c r="F7" s="14">
        <v>4.0</v>
      </c>
      <c r="G7" s="18"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39.0"/>
    <col customWidth="1" min="4" max="4" width="50.0"/>
    <col customWidth="1" min="5" max="5" width="13.0"/>
    <col customWidth="1" min="6" max="6" width="21.0"/>
    <col customWidth="1" min="7" max="7" width="69.57"/>
    <col customWidth="1" min="8" max="26" width="8.71"/>
  </cols>
  <sheetData>
    <row r="2">
      <c r="B2" s="1" t="s">
        <v>56</v>
      </c>
    </row>
    <row r="3">
      <c r="B3" s="9" t="s">
        <v>16</v>
      </c>
    </row>
    <row r="5">
      <c r="B5" s="10" t="s">
        <v>17</v>
      </c>
      <c r="C5" s="10" t="s">
        <v>18</v>
      </c>
      <c r="D5" s="10" t="s">
        <v>19</v>
      </c>
      <c r="E5" s="10" t="s">
        <v>20</v>
      </c>
      <c r="F5" s="10" t="s">
        <v>21</v>
      </c>
      <c r="G5" s="10" t="s">
        <v>22</v>
      </c>
    </row>
    <row r="6" ht="87.0" customHeight="1">
      <c r="B6" s="11" t="s">
        <v>58</v>
      </c>
      <c r="C6" s="12" t="s">
        <v>59</v>
      </c>
      <c r="D6" s="13" t="s">
        <v>60</v>
      </c>
      <c r="E6" s="14">
        <v>5.0</v>
      </c>
      <c r="F6" s="14">
        <v>5.0</v>
      </c>
      <c r="G6" s="16" t="s">
        <v>62</v>
      </c>
    </row>
    <row r="7" ht="53.25" customHeight="1">
      <c r="B7" s="11" t="s">
        <v>78</v>
      </c>
      <c r="C7" s="12" t="s">
        <v>79</v>
      </c>
      <c r="D7" s="13" t="s">
        <v>81</v>
      </c>
      <c r="E7" s="14">
        <v>5.0</v>
      </c>
      <c r="F7" s="14">
        <v>5.0</v>
      </c>
      <c r="G7" s="16" t="s">
        <v>84</v>
      </c>
    </row>
    <row r="8" ht="59.25" customHeight="1">
      <c r="B8" s="11" t="s">
        <v>97</v>
      </c>
      <c r="C8" s="12" t="s">
        <v>100</v>
      </c>
      <c r="D8" s="13" t="s">
        <v>102</v>
      </c>
      <c r="E8" s="14">
        <v>5.0</v>
      </c>
      <c r="F8" s="14">
        <v>5.0</v>
      </c>
      <c r="G8" s="18" t="s">
        <v>107</v>
      </c>
    </row>
    <row r="9" ht="54.0" customHeight="1">
      <c r="B9" s="11" t="s">
        <v>110</v>
      </c>
      <c r="C9" s="12" t="s">
        <v>112</v>
      </c>
      <c r="D9" s="13" t="s">
        <v>115</v>
      </c>
      <c r="E9" s="14">
        <v>5.0</v>
      </c>
      <c r="F9" s="14">
        <v>5.0</v>
      </c>
      <c r="G9" s="16" t="s">
        <v>120</v>
      </c>
    </row>
    <row r="10" ht="65.25" customHeight="1">
      <c r="B10" s="11" t="s">
        <v>131</v>
      </c>
      <c r="C10" s="12" t="s">
        <v>132</v>
      </c>
      <c r="D10" s="13" t="s">
        <v>133</v>
      </c>
      <c r="E10" s="14">
        <v>5.0</v>
      </c>
      <c r="F10" s="14">
        <v>5.0</v>
      </c>
      <c r="G10" s="16" t="s">
        <v>134</v>
      </c>
    </row>
    <row r="11" ht="59.25" customHeight="1">
      <c r="B11" s="11" t="s">
        <v>135</v>
      </c>
      <c r="C11" s="12" t="s">
        <v>136</v>
      </c>
      <c r="D11" s="13" t="s">
        <v>137</v>
      </c>
      <c r="E11" s="14">
        <v>5.0</v>
      </c>
      <c r="F11" s="14">
        <v>4.0</v>
      </c>
      <c r="G11" s="18" t="s">
        <v>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
    <hyperlink r:id="rId2" ref="G7"/>
    <hyperlink r:id="rId3" ref="G9"/>
    <hyperlink r:id="rId4" ref="G10"/>
  </hyperlinks>
  <printOptions/>
  <pageMargins bottom="1.0" footer="0.0" header="0.0" left="0.75" right="0.75" top="1.0"/>
  <pageSetup orientation="landscape"/>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8.0"/>
    <col customWidth="1" min="4" max="4" width="50.0"/>
    <col customWidth="1" min="5" max="5" width="13.0"/>
    <col customWidth="1" min="6" max="6" width="21.0"/>
    <col customWidth="1" min="7" max="7" width="77.14"/>
    <col customWidth="1" min="8" max="26" width="8.71"/>
  </cols>
  <sheetData>
    <row r="2">
      <c r="B2" s="1" t="s">
        <v>57</v>
      </c>
    </row>
    <row r="3">
      <c r="B3" s="9" t="s">
        <v>16</v>
      </c>
    </row>
    <row r="5">
      <c r="B5" s="10" t="s">
        <v>17</v>
      </c>
      <c r="C5" s="10" t="s">
        <v>18</v>
      </c>
      <c r="D5" s="10" t="s">
        <v>19</v>
      </c>
      <c r="E5" s="10" t="s">
        <v>20</v>
      </c>
      <c r="F5" s="10" t="s">
        <v>21</v>
      </c>
      <c r="G5" s="10" t="s">
        <v>22</v>
      </c>
    </row>
    <row r="6" ht="57.0" customHeight="1">
      <c r="B6" s="11" t="s">
        <v>61</v>
      </c>
      <c r="C6" s="12" t="s">
        <v>63</v>
      </c>
      <c r="D6" s="13" t="s">
        <v>64</v>
      </c>
      <c r="E6" s="14">
        <v>5.0</v>
      </c>
      <c r="F6" s="14">
        <v>5.0</v>
      </c>
      <c r="G6" s="18" t="s">
        <v>65</v>
      </c>
    </row>
    <row r="7" ht="60.0" customHeight="1">
      <c r="B7" s="11" t="s">
        <v>66</v>
      </c>
      <c r="C7" s="12" t="s">
        <v>67</v>
      </c>
      <c r="D7" s="13" t="s">
        <v>68</v>
      </c>
      <c r="E7" s="14">
        <v>5.0</v>
      </c>
      <c r="F7" s="14">
        <v>4.0</v>
      </c>
      <c r="G7" s="18" t="s">
        <v>65</v>
      </c>
    </row>
    <row r="8" ht="74.25" customHeight="1">
      <c r="B8" s="11" t="s">
        <v>69</v>
      </c>
      <c r="C8" s="12" t="s">
        <v>70</v>
      </c>
      <c r="D8" s="13" t="s">
        <v>71</v>
      </c>
      <c r="E8" s="14">
        <v>5.0</v>
      </c>
      <c r="F8" s="14">
        <v>3.0</v>
      </c>
      <c r="G8" s="18" t="s">
        <v>73</v>
      </c>
    </row>
    <row r="9" ht="61.5" customHeight="1">
      <c r="B9" s="11" t="s">
        <v>74</v>
      </c>
      <c r="C9" s="12" t="s">
        <v>75</v>
      </c>
      <c r="D9" s="13" t="s">
        <v>77</v>
      </c>
      <c r="E9" s="14">
        <v>5.0</v>
      </c>
      <c r="F9" s="14">
        <v>4.0</v>
      </c>
      <c r="G9" s="18"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0.0"/>
    <col customWidth="1" min="4" max="4" width="50.0"/>
    <col customWidth="1" min="5" max="5" width="13.0"/>
    <col customWidth="1" min="6" max="6" width="21.0"/>
    <col customWidth="1" min="7" max="7" width="77.86"/>
    <col customWidth="1" min="8" max="26" width="8.71"/>
  </cols>
  <sheetData>
    <row r="2">
      <c r="B2" s="1" t="s">
        <v>72</v>
      </c>
    </row>
    <row r="3">
      <c r="B3" s="9" t="s">
        <v>16</v>
      </c>
    </row>
    <row r="5">
      <c r="B5" s="10" t="s">
        <v>17</v>
      </c>
      <c r="C5" s="10" t="s">
        <v>18</v>
      </c>
      <c r="D5" s="10" t="s">
        <v>19</v>
      </c>
      <c r="E5" s="10" t="s">
        <v>20</v>
      </c>
      <c r="F5" s="10" t="s">
        <v>21</v>
      </c>
      <c r="G5" s="10" t="s">
        <v>22</v>
      </c>
    </row>
    <row r="6" ht="59.25" customHeight="1">
      <c r="B6" s="11" t="s">
        <v>82</v>
      </c>
      <c r="C6" s="12" t="s">
        <v>83</v>
      </c>
      <c r="D6" s="19" t="s">
        <v>85</v>
      </c>
      <c r="E6" s="14">
        <v>5.0</v>
      </c>
      <c r="F6" s="14">
        <v>5.0</v>
      </c>
      <c r="G6" s="18" t="s">
        <v>87</v>
      </c>
    </row>
    <row r="7" ht="62.25" customHeight="1">
      <c r="B7" s="11" t="s">
        <v>89</v>
      </c>
      <c r="C7" s="12" t="s">
        <v>90</v>
      </c>
      <c r="D7" s="19" t="s">
        <v>92</v>
      </c>
      <c r="E7" s="14">
        <v>5.0</v>
      </c>
      <c r="F7" s="14">
        <v>5.0</v>
      </c>
      <c r="G7" s="18" t="s">
        <v>93</v>
      </c>
    </row>
    <row r="8" ht="60.75" customHeight="1">
      <c r="B8" s="11" t="s">
        <v>95</v>
      </c>
      <c r="C8" s="12" t="s">
        <v>96</v>
      </c>
      <c r="D8" s="19" t="s">
        <v>99</v>
      </c>
      <c r="E8" s="14">
        <v>5.0</v>
      </c>
      <c r="F8" s="14">
        <v>4.0</v>
      </c>
      <c r="G8" s="18" t="s">
        <v>104</v>
      </c>
    </row>
    <row r="9" ht="51.75" customHeight="1">
      <c r="B9" s="11" t="s">
        <v>105</v>
      </c>
      <c r="C9" s="12" t="s">
        <v>106</v>
      </c>
      <c r="D9" s="19" t="s">
        <v>109</v>
      </c>
      <c r="E9" s="14">
        <v>5.0</v>
      </c>
      <c r="F9" s="14">
        <v>0.0</v>
      </c>
      <c r="G9" s="18" t="s">
        <v>113</v>
      </c>
    </row>
    <row r="10">
      <c r="B10" s="11" t="s">
        <v>116</v>
      </c>
      <c r="C10" s="12" t="s">
        <v>118</v>
      </c>
      <c r="D10" s="19" t="s">
        <v>119</v>
      </c>
      <c r="E10" s="14">
        <v>5.0</v>
      </c>
      <c r="F10" s="14">
        <v>5.0</v>
      </c>
      <c r="G10" s="18" t="s">
        <v>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2.0"/>
    <col customWidth="1" min="4" max="4" width="50.0"/>
    <col customWidth="1" min="5" max="5" width="13.0"/>
    <col customWidth="1" min="6" max="6" width="21.0"/>
    <col customWidth="1" min="7" max="7" width="75.57"/>
    <col customWidth="1" min="8" max="26" width="8.71"/>
  </cols>
  <sheetData>
    <row r="2">
      <c r="B2" s="1" t="s">
        <v>76</v>
      </c>
    </row>
    <row r="3">
      <c r="B3" s="9" t="s">
        <v>16</v>
      </c>
    </row>
    <row r="5">
      <c r="B5" s="10" t="s">
        <v>17</v>
      </c>
      <c r="C5" s="10" t="s">
        <v>18</v>
      </c>
      <c r="D5" s="10" t="s">
        <v>19</v>
      </c>
      <c r="E5" s="10" t="s">
        <v>20</v>
      </c>
      <c r="F5" s="10" t="s">
        <v>21</v>
      </c>
      <c r="G5" s="10" t="s">
        <v>22</v>
      </c>
    </row>
    <row r="6" ht="66.0" customHeight="1">
      <c r="B6" s="11" t="s">
        <v>86</v>
      </c>
      <c r="C6" s="12" t="s">
        <v>88</v>
      </c>
      <c r="D6" s="13" t="s">
        <v>91</v>
      </c>
      <c r="E6" s="14">
        <v>5.0</v>
      </c>
      <c r="F6" s="14">
        <v>4.0</v>
      </c>
      <c r="G6" s="20" t="s">
        <v>94</v>
      </c>
    </row>
    <row r="7" ht="57.75" customHeight="1">
      <c r="B7" s="11" t="s">
        <v>98</v>
      </c>
      <c r="C7" s="12" t="s">
        <v>101</v>
      </c>
      <c r="D7" s="13" t="s">
        <v>103</v>
      </c>
      <c r="E7" s="14">
        <v>5.0</v>
      </c>
      <c r="F7" s="14">
        <v>5.0</v>
      </c>
      <c r="G7" s="20" t="s">
        <v>108</v>
      </c>
    </row>
    <row r="8" ht="70.5" customHeight="1">
      <c r="B8" s="11" t="s">
        <v>111</v>
      </c>
      <c r="C8" s="12" t="s">
        <v>114</v>
      </c>
      <c r="D8" s="13" t="s">
        <v>117</v>
      </c>
      <c r="E8" s="14">
        <v>5.0</v>
      </c>
      <c r="F8" s="14">
        <v>4.0</v>
      </c>
      <c r="G8" s="20" t="s">
        <v>121</v>
      </c>
    </row>
    <row r="9" ht="65.25" customHeight="1">
      <c r="B9" s="11" t="s">
        <v>123</v>
      </c>
      <c r="C9" s="12" t="s">
        <v>124</v>
      </c>
      <c r="D9" s="13" t="s">
        <v>125</v>
      </c>
      <c r="E9" s="14">
        <v>5.0</v>
      </c>
      <c r="F9" s="14">
        <v>5.0</v>
      </c>
      <c r="G9" s="20" t="s">
        <v>126</v>
      </c>
    </row>
    <row r="10" ht="63.75" customHeight="1">
      <c r="B10" s="11" t="s">
        <v>127</v>
      </c>
      <c r="C10" s="12" t="s">
        <v>128</v>
      </c>
      <c r="D10" s="13" t="s">
        <v>129</v>
      </c>
      <c r="E10" s="14">
        <v>5.0</v>
      </c>
      <c r="F10" s="14">
        <v>4.0</v>
      </c>
      <c r="G10" s="21"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7.0"/>
    <col customWidth="1" min="4" max="4" width="50.0"/>
    <col customWidth="1" min="5" max="5" width="13.0"/>
    <col customWidth="1" min="6" max="6" width="21.0"/>
    <col customWidth="1" min="7" max="7" width="69.57"/>
    <col customWidth="1" min="8" max="26" width="8.71"/>
  </cols>
  <sheetData>
    <row r="2">
      <c r="B2" s="1" t="s">
        <v>139</v>
      </c>
    </row>
    <row r="3">
      <c r="B3" s="9" t="s">
        <v>16</v>
      </c>
    </row>
    <row r="5">
      <c r="B5" s="10" t="s">
        <v>17</v>
      </c>
      <c r="C5" s="10" t="s">
        <v>18</v>
      </c>
      <c r="D5" s="10" t="s">
        <v>19</v>
      </c>
      <c r="E5" s="10" t="s">
        <v>20</v>
      </c>
      <c r="F5" s="10" t="s">
        <v>21</v>
      </c>
      <c r="G5" s="10" t="s">
        <v>22</v>
      </c>
    </row>
    <row r="6" ht="54.75" customHeight="1">
      <c r="B6" s="11" t="s">
        <v>140</v>
      </c>
      <c r="C6" s="12" t="s">
        <v>141</v>
      </c>
      <c r="D6" s="13" t="s">
        <v>142</v>
      </c>
      <c r="E6" s="14">
        <v>5.0</v>
      </c>
      <c r="F6" s="14">
        <v>4.0</v>
      </c>
      <c r="G6" s="20" t="s">
        <v>143</v>
      </c>
    </row>
    <row r="7" ht="55.5" customHeight="1">
      <c r="B7" s="11" t="s">
        <v>144</v>
      </c>
      <c r="C7" s="12" t="s">
        <v>145</v>
      </c>
      <c r="D7" s="13" t="s">
        <v>146</v>
      </c>
      <c r="E7" s="14">
        <v>5.0</v>
      </c>
      <c r="F7" s="22">
        <v>5.0</v>
      </c>
      <c r="G7" s="21" t="s">
        <v>147</v>
      </c>
    </row>
    <row r="8" ht="61.5" customHeight="1">
      <c r="B8" s="11" t="s">
        <v>148</v>
      </c>
      <c r="C8" s="12" t="s">
        <v>150</v>
      </c>
      <c r="D8" s="13" t="s">
        <v>152</v>
      </c>
      <c r="E8" s="14">
        <v>5.0</v>
      </c>
      <c r="F8" s="14">
        <v>3.0</v>
      </c>
      <c r="G8" s="20" t="s">
        <v>156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60.0"/>
    <col customWidth="1" min="4" max="4" width="29.0"/>
    <col customWidth="1" min="5" max="5" width="40.0"/>
    <col customWidth="1" min="6" max="26" width="8.71"/>
  </cols>
  <sheetData>
    <row r="2">
      <c r="B2" s="1" t="s">
        <v>149</v>
      </c>
    </row>
    <row r="3">
      <c r="B3" s="2" t="s">
        <v>151</v>
      </c>
    </row>
    <row r="5">
      <c r="B5" s="10" t="s">
        <v>153</v>
      </c>
      <c r="C5" s="10" t="s">
        <v>154</v>
      </c>
      <c r="D5" s="10" t="s">
        <v>155</v>
      </c>
      <c r="E5" s="10" t="s">
        <v>157</v>
      </c>
    </row>
    <row r="6">
      <c r="B6" s="5">
        <v>1.0</v>
      </c>
      <c r="C6" s="11" t="s">
        <v>158</v>
      </c>
      <c r="D6" s="12" t="s">
        <v>6</v>
      </c>
      <c r="E6" s="11" t="s">
        <v>24</v>
      </c>
    </row>
    <row r="7">
      <c r="B7" s="5">
        <v>2.0</v>
      </c>
      <c r="C7" s="11" t="s">
        <v>159</v>
      </c>
      <c r="D7" s="12" t="s">
        <v>6</v>
      </c>
      <c r="E7" s="11" t="s">
        <v>28</v>
      </c>
    </row>
    <row r="8">
      <c r="B8" s="5">
        <v>3.0</v>
      </c>
      <c r="C8" s="11" t="s">
        <v>160</v>
      </c>
      <c r="D8" s="12" t="s">
        <v>6</v>
      </c>
      <c r="E8" s="11" t="s">
        <v>32</v>
      </c>
    </row>
    <row r="9">
      <c r="B9" s="5">
        <v>4.0</v>
      </c>
      <c r="C9" s="11" t="s">
        <v>161</v>
      </c>
      <c r="D9" s="12" t="s">
        <v>7</v>
      </c>
      <c r="E9" s="11" t="s">
        <v>37</v>
      </c>
    </row>
    <row r="10">
      <c r="B10" s="5">
        <v>5.0</v>
      </c>
      <c r="C10" s="11" t="s">
        <v>162</v>
      </c>
      <c r="D10" s="12" t="s">
        <v>7</v>
      </c>
      <c r="E10" s="11" t="s">
        <v>41</v>
      </c>
    </row>
    <row r="11">
      <c r="B11" s="5">
        <v>6.0</v>
      </c>
      <c r="C11" s="11" t="s">
        <v>163</v>
      </c>
      <c r="D11" s="12" t="s">
        <v>7</v>
      </c>
      <c r="E11" s="11" t="s">
        <v>45</v>
      </c>
    </row>
    <row r="12">
      <c r="B12" s="5">
        <v>7.0</v>
      </c>
      <c r="C12" s="11" t="s">
        <v>164</v>
      </c>
      <c r="D12" s="12" t="s">
        <v>8</v>
      </c>
      <c r="E12" s="11" t="s">
        <v>49</v>
      </c>
    </row>
    <row r="13">
      <c r="B13" s="5">
        <v>8.0</v>
      </c>
      <c r="C13" s="11" t="s">
        <v>165</v>
      </c>
      <c r="D13" s="12" t="s">
        <v>8</v>
      </c>
      <c r="E13" s="11" t="s">
        <v>53</v>
      </c>
    </row>
    <row r="14">
      <c r="B14" s="5">
        <v>9.0</v>
      </c>
      <c r="C14" s="11" t="s">
        <v>166</v>
      </c>
      <c r="D14" s="12" t="s">
        <v>9</v>
      </c>
      <c r="E14" s="11" t="s">
        <v>59</v>
      </c>
    </row>
    <row r="15">
      <c r="B15" s="5">
        <v>10.0</v>
      </c>
      <c r="C15" s="11" t="s">
        <v>167</v>
      </c>
      <c r="D15" s="12" t="s">
        <v>9</v>
      </c>
      <c r="E15" s="11" t="s">
        <v>79</v>
      </c>
    </row>
    <row r="16">
      <c r="B16" s="5">
        <v>11.0</v>
      </c>
      <c r="C16" s="11" t="s">
        <v>168</v>
      </c>
      <c r="D16" s="12" t="s">
        <v>9</v>
      </c>
      <c r="E16" s="11" t="s">
        <v>100</v>
      </c>
    </row>
    <row r="17">
      <c r="B17" s="5">
        <v>12.0</v>
      </c>
      <c r="C17" s="11" t="s">
        <v>169</v>
      </c>
      <c r="D17" s="12" t="s">
        <v>9</v>
      </c>
      <c r="E17" s="11" t="s">
        <v>112</v>
      </c>
    </row>
    <row r="18">
      <c r="B18" s="5">
        <v>13.0</v>
      </c>
      <c r="C18" s="11" t="s">
        <v>170</v>
      </c>
      <c r="D18" s="12" t="s">
        <v>9</v>
      </c>
      <c r="E18" s="11" t="s">
        <v>132</v>
      </c>
    </row>
    <row r="19">
      <c r="B19" s="5">
        <v>14.0</v>
      </c>
      <c r="C19" s="11" t="s">
        <v>171</v>
      </c>
      <c r="D19" s="12" t="s">
        <v>9</v>
      </c>
      <c r="E19" s="11" t="s">
        <v>136</v>
      </c>
    </row>
    <row r="20">
      <c r="B20" s="5">
        <v>15.0</v>
      </c>
      <c r="C20" s="11" t="s">
        <v>172</v>
      </c>
      <c r="D20" s="12" t="s">
        <v>10</v>
      </c>
      <c r="E20" s="11" t="s">
        <v>63</v>
      </c>
    </row>
    <row r="21" ht="15.75" customHeight="1">
      <c r="B21" s="5">
        <v>16.0</v>
      </c>
      <c r="C21" s="11" t="s">
        <v>173</v>
      </c>
      <c r="D21" s="12" t="s">
        <v>10</v>
      </c>
      <c r="E21" s="11" t="s">
        <v>67</v>
      </c>
    </row>
    <row r="22" ht="15.75" customHeight="1">
      <c r="B22" s="5">
        <v>17.0</v>
      </c>
      <c r="C22" s="11" t="s">
        <v>174</v>
      </c>
      <c r="D22" s="12" t="s">
        <v>10</v>
      </c>
      <c r="E22" s="11" t="s">
        <v>70</v>
      </c>
    </row>
    <row r="23" ht="15.75" customHeight="1">
      <c r="B23" s="5">
        <v>18.0</v>
      </c>
      <c r="C23" s="11" t="s">
        <v>175</v>
      </c>
      <c r="D23" s="12" t="s">
        <v>10</v>
      </c>
      <c r="E23" s="11" t="s">
        <v>75</v>
      </c>
    </row>
    <row r="24" ht="15.75" customHeight="1">
      <c r="B24" s="5">
        <v>19.0</v>
      </c>
      <c r="C24" s="11" t="s">
        <v>176</v>
      </c>
      <c r="D24" s="12" t="s">
        <v>11</v>
      </c>
      <c r="E24" s="11" t="s">
        <v>83</v>
      </c>
    </row>
    <row r="25" ht="15.75" customHeight="1">
      <c r="B25" s="5">
        <v>20.0</v>
      </c>
      <c r="C25" s="11" t="s">
        <v>177</v>
      </c>
      <c r="D25" s="12" t="s">
        <v>11</v>
      </c>
      <c r="E25" s="11" t="s">
        <v>90</v>
      </c>
    </row>
    <row r="26" ht="15.75" customHeight="1">
      <c r="B26" s="5">
        <v>21.0</v>
      </c>
      <c r="C26" s="11" t="s">
        <v>178</v>
      </c>
      <c r="D26" s="12" t="s">
        <v>11</v>
      </c>
      <c r="E26" s="11" t="s">
        <v>96</v>
      </c>
    </row>
    <row r="27" ht="15.75" customHeight="1">
      <c r="B27" s="5">
        <v>22.0</v>
      </c>
      <c r="C27" s="11" t="s">
        <v>179</v>
      </c>
      <c r="D27" s="12" t="s">
        <v>11</v>
      </c>
      <c r="E27" s="11" t="s">
        <v>106</v>
      </c>
    </row>
    <row r="28" ht="15.75" customHeight="1">
      <c r="B28" s="5">
        <v>23.0</v>
      </c>
      <c r="C28" s="11" t="s">
        <v>180</v>
      </c>
      <c r="D28" s="12" t="s">
        <v>11</v>
      </c>
      <c r="E28" s="11" t="s">
        <v>118</v>
      </c>
    </row>
    <row r="29" ht="15.75" customHeight="1">
      <c r="B29" s="5">
        <v>24.0</v>
      </c>
      <c r="C29" s="11" t="s">
        <v>181</v>
      </c>
      <c r="D29" s="12" t="s">
        <v>12</v>
      </c>
      <c r="E29" s="11" t="s">
        <v>88</v>
      </c>
    </row>
    <row r="30" ht="15.75" customHeight="1">
      <c r="B30" s="5">
        <v>25.0</v>
      </c>
      <c r="C30" s="11" t="s">
        <v>182</v>
      </c>
      <c r="D30" s="12" t="s">
        <v>12</v>
      </c>
      <c r="E30" s="11" t="s">
        <v>101</v>
      </c>
    </row>
    <row r="31" ht="15.75" customHeight="1">
      <c r="B31" s="5">
        <v>26.0</v>
      </c>
      <c r="C31" s="11" t="s">
        <v>183</v>
      </c>
      <c r="D31" s="12" t="s">
        <v>12</v>
      </c>
      <c r="E31" s="11" t="s">
        <v>114</v>
      </c>
    </row>
    <row r="32" ht="15.75" customHeight="1">
      <c r="B32" s="5">
        <v>27.0</v>
      </c>
      <c r="C32" s="11" t="s">
        <v>184</v>
      </c>
      <c r="D32" s="12" t="s">
        <v>12</v>
      </c>
      <c r="E32" s="11" t="s">
        <v>124</v>
      </c>
    </row>
    <row r="33" ht="15.75" customHeight="1">
      <c r="B33" s="5">
        <v>28.0</v>
      </c>
      <c r="C33" s="11" t="s">
        <v>185</v>
      </c>
      <c r="D33" s="12" t="s">
        <v>12</v>
      </c>
      <c r="E33" s="11" t="s">
        <v>128</v>
      </c>
    </row>
    <row r="34" ht="15.75" customHeight="1">
      <c r="B34" s="5">
        <v>29.0</v>
      </c>
      <c r="C34" s="11" t="s">
        <v>186</v>
      </c>
      <c r="D34" s="12" t="s">
        <v>13</v>
      </c>
      <c r="E34" s="11" t="s">
        <v>141</v>
      </c>
    </row>
    <row r="35" ht="15.75" customHeight="1">
      <c r="B35" s="5">
        <v>30.0</v>
      </c>
      <c r="C35" s="11" t="s">
        <v>187</v>
      </c>
      <c r="D35" s="12" t="s">
        <v>13</v>
      </c>
      <c r="E35" s="11" t="s">
        <v>145</v>
      </c>
    </row>
    <row r="36" ht="15.75" customHeight="1">
      <c r="B36" s="5">
        <v>31.0</v>
      </c>
      <c r="C36" s="11" t="s">
        <v>188</v>
      </c>
      <c r="D36" s="12" t="s">
        <v>13</v>
      </c>
      <c r="E36" s="11" t="s">
        <v>150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2026-07-29T16:11:02Z</dcterms:created>
  <dc:creator>openpyxl</dc:creator>
</cp:coreProperties>
</file>