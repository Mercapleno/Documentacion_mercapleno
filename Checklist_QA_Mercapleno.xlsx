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Checklist RF" sheetId="2" r:id="rId6"/>
    <sheet state="visible" name="Checklist CU" sheetId="3" r:id="rId7"/>
    <sheet state="visible" name="Checklist HU" sheetId="4" r:id="rId8"/>
    <sheet state="visible" name="Resumen" sheetId="5" r:id="rId9"/>
  </sheets>
  <definedNames/>
  <calcPr/>
</workbook>
</file>

<file path=xl/sharedStrings.xml><?xml version="1.0" encoding="utf-8"?>
<sst xmlns="http://schemas.openxmlformats.org/spreadsheetml/2006/main" count="1348" uniqueCount="277">
  <si>
    <t>CHECKLIST QA — VERIFICACIÓN DE CASOS DE USO EXTENDIDO (CU)</t>
  </si>
  <si>
    <t>CHECKLIST QA — MATRIZ DE CUMPLIMIENTO RF / CASOS DE USO EXTENDIDO / HISTORIAS DE USUARIO</t>
  </si>
  <si>
    <t>CHECKLIST QA — VERIFICACIÓN DE HISTORIAS DE USUARIO (HU)</t>
  </si>
  <si>
    <t>CHECKLIST QA — VERIFICACIÓN DE REQUISITOS FUNCIONALES (RF)</t>
  </si>
  <si>
    <t xml:space="preserve">Mercapleno
</t>
  </si>
  <si>
    <t>Hojas incluidas</t>
  </si>
  <si>
    <t>• Checklist RF  Verificación de Requisitos Funcionales.</t>
  </si>
  <si>
    <t>ID HU</t>
  </si>
  <si>
    <t>• Checklist CP  Verificación de Casos de Prueba.</t>
  </si>
  <si>
    <t>N° de RF</t>
  </si>
  <si>
    <t>• Checklist HU  Verificación de Historias de Usuario.</t>
  </si>
  <si>
    <t>ID CP</t>
  </si>
  <si>
    <t>• Resumen  Panel con el conteo y porcentaje de cumplimiento por cada hoja.</t>
  </si>
  <si>
    <t>Título de la Historia de Usuario</t>
  </si>
  <si>
    <t>Formato Como/Quiero/
Para correcto</t>
  </si>
  <si>
    <t>ID RF</t>
  </si>
  <si>
    <t>Actor o rol
definido</t>
  </si>
  <si>
    <t>Nombre del Requisito</t>
  </si>
  <si>
    <t>Criterios de aceptación
definidos (Given/When/Then)</t>
  </si>
  <si>
    <t>RF / HU relacionado</t>
  </si>
  <si>
    <t>Redacción clara,
sin ambigüedad</t>
  </si>
  <si>
    <t>Trazabilidad
a RF</t>
  </si>
  <si>
    <t>Título del caso de prueba</t>
  </si>
  <si>
    <t>Trazabilidad a
HU / módulo</t>
  </si>
  <si>
    <t>Priorización
(Story points y Sprint)</t>
  </si>
  <si>
    <t>Título descriptivo
y claro</t>
  </si>
  <si>
    <t>Verbo modal correcto
(debe / deberá)</t>
  </si>
  <si>
    <t>Precondiciones
definidas</t>
  </si>
  <si>
    <t>Sin contradicciones
internas</t>
  </si>
  <si>
    <t>Testable /
verificable</t>
  </si>
  <si>
    <t>Pasos numerados
y claros</t>
  </si>
  <si>
    <t>Criterio de aceptación
verificable/medible</t>
  </si>
  <si>
    <t>Redacción sin
ambigüedad</t>
  </si>
  <si>
    <t>Datos de entrada
especificados</t>
  </si>
  <si>
    <t>Prioridad
definida</t>
  </si>
  <si>
    <t>Tamaño adecuado
(cumple INVEST)</t>
  </si>
  <si>
    <t>Resultado esperado
definido</t>
  </si>
  <si>
    <t>Reglas de negocio</t>
  </si>
  <si>
    <t>Definition of Done definida</t>
  </si>
  <si>
    <t>Precondicion definida</t>
  </si>
  <si>
    <t>% Cumplimiento</t>
  </si>
  <si>
    <t>Entradas definidas</t>
  </si>
  <si>
    <t>Cobertura del criterio de aceptación</t>
  </si>
  <si>
    <t>Estado General</t>
  </si>
  <si>
    <t>Observaciones</t>
  </si>
  <si>
    <t>Flujo principal</t>
  </si>
  <si>
    <t>Salidas esperadas</t>
  </si>
  <si>
    <t>RF-001</t>
  </si>
  <si>
    <t>Autenticación</t>
  </si>
  <si>
    <t>HU-001.1</t>
  </si>
  <si>
    <t>Registrar usuario</t>
  </si>
  <si>
    <t>CU-001.1</t>
  </si>
  <si>
    <t>RF-001.1</t>
  </si>
  <si>
    <t>✓</t>
  </si>
  <si>
    <t>⚠</t>
  </si>
  <si>
    <t>RESUMEN — PANEL DE CUMPLIMIENTO QA</t>
  </si>
  <si>
    <t>Componente evaluado</t>
  </si>
  <si>
    <t>Total ítems</t>
  </si>
  <si>
    <t>Cumple</t>
  </si>
  <si>
    <t>Cumple Parcial</t>
  </si>
  <si>
    <t>No Cumple</t>
  </si>
  <si>
    <t>Requisitos Funcionales (RF)</t>
  </si>
  <si>
    <t>Existe una inconsistencia entre la descripción (rol asignado) y la regla de negocio (rol por defecto Cliente). Debe unificarse.</t>
  </si>
  <si>
    <t>HU-001.2</t>
  </si>
  <si>
    <t>Verificar correo electrónico</t>
  </si>
  <si>
    <t>Solo se indica que debe tener un mínimo de 8 caracteres.
No se especifica si debe incluir mayúsculas, minúsculas, números o caracteres especiales.</t>
  </si>
  <si>
    <t>RF-002</t>
  </si>
  <si>
    <t>CU-001.2</t>
  </si>
  <si>
    <t>RF-001.2</t>
  </si>
  <si>
    <t>Casos de Uso Extendido (CU)</t>
  </si>
  <si>
    <t>HU-001.3</t>
  </si>
  <si>
    <t>Reenviar código de verificación</t>
  </si>
  <si>
    <t>CU-001.3</t>
  </si>
  <si>
    <t>RF-001.3</t>
  </si>
  <si>
    <t>RF-003</t>
  </si>
  <si>
    <t>Historias de Usuario (HU)</t>
  </si>
  <si>
    <t>No se especifica si existe un límite o restricción para el reenvío de códigos.</t>
  </si>
  <si>
    <t>La enumeración de la FE y FA estan mal</t>
  </si>
  <si>
    <t>HU-001.4</t>
  </si>
  <si>
    <t>CU-001.4</t>
  </si>
  <si>
    <t>Inicar sesión</t>
  </si>
  <si>
    <t>RF-001.4</t>
  </si>
  <si>
    <t>Falta indicar si existe un límite de reenvios</t>
  </si>
  <si>
    <t>RF-004</t>
  </si>
  <si>
    <t>Nota: este panel se actualiza automáticamente según lo diligenciado en cada hoja de checklist.</t>
  </si>
  <si>
    <t>El flujo del JWT debe alinearse con el 2FA</t>
  </si>
  <si>
    <t>HU-001.5</t>
  </si>
  <si>
    <t>CU-001.5</t>
  </si>
  <si>
    <t>Doble factor</t>
  </si>
  <si>
    <t>RF-001.5</t>
  </si>
  <si>
    <t>Verifica que no nombre el cifrado con Bcrypt, ya que es parte del codigo</t>
  </si>
  <si>
    <t>Precondición duplicada</t>
  </si>
  <si>
    <t>CU-001.6</t>
  </si>
  <si>
    <t>HU-001.6</t>
  </si>
  <si>
    <t>RF-005</t>
  </si>
  <si>
    <t>RF-001.6</t>
  </si>
  <si>
    <t>Verificar código de doble factor(2FA)</t>
  </si>
  <si>
    <t>HU-001.7</t>
  </si>
  <si>
    <t>CU-001.7</t>
  </si>
  <si>
    <t>Solicitar recuperación de contraseña</t>
  </si>
  <si>
    <t>RF-001.7</t>
  </si>
  <si>
    <t>Se recomienda hacer más explícita la generación y entrega del token temporal</t>
  </si>
  <si>
    <t>RF-006</t>
  </si>
  <si>
    <t>Corregir la enumeración de trazabilidad</t>
  </si>
  <si>
    <t>Conviene indicar que se muestra un mensaje genérico por seguridad.</t>
  </si>
  <si>
    <t>CU-001.8</t>
  </si>
  <si>
    <t>HU-001.8</t>
  </si>
  <si>
    <t>RF-001.8</t>
  </si>
  <si>
    <t>Restablecer contraseña</t>
  </si>
  <si>
    <t>RF-007</t>
  </si>
  <si>
    <t>CU-001.9</t>
  </si>
  <si>
    <t>La política de contraseña no es consistente con HU-001.1 ("mínimo 8 caracteres" vs. "más de 8 caracteres"</t>
  </si>
  <si>
    <t>RF-001.9</t>
  </si>
  <si>
    <t>HU-001.9</t>
  </si>
  <si>
    <t>Cerrar sesión</t>
  </si>
  <si>
    <t>Se recomienda definir el comportamiento esperado cuando un usuario tenga múltiples sesiones activas y precisar el resultado esperado de la invalidación del token JWT</t>
  </si>
  <si>
    <t>RF-008</t>
  </si>
  <si>
    <t>Se recomienda especificar el comportamiento cuando se solicitan múltiples códigos de recuperación antes de que expire el anterior y, si aplica</t>
  </si>
  <si>
    <t>RF-009</t>
  </si>
  <si>
    <t>CU-002.1</t>
  </si>
  <si>
    <t>RF-002.1</t>
  </si>
  <si>
    <t>HU-002.1</t>
  </si>
  <si>
    <t>Gestión de usuarios</t>
  </si>
  <si>
    <t>CU-002.2</t>
  </si>
  <si>
    <t>RF-002.2</t>
  </si>
  <si>
    <t>Consultar usuario</t>
  </si>
  <si>
    <t>CU-002.3</t>
  </si>
  <si>
    <t>RF-002.3</t>
  </si>
  <si>
    <t>Actualizar usuario</t>
  </si>
  <si>
    <t>Inconcistencia con RN-006</t>
  </si>
  <si>
    <t>HU-002.2</t>
  </si>
  <si>
    <t>RF-010</t>
  </si>
  <si>
    <t>CU-002.4</t>
  </si>
  <si>
    <t>RF-002.4</t>
  </si>
  <si>
    <t>Eliminar usuario</t>
  </si>
  <si>
    <t>HU-002.3</t>
  </si>
  <si>
    <t>CU-003.1</t>
  </si>
  <si>
    <t>Consultar Catálogo de Productos</t>
  </si>
  <si>
    <t>Los datos de entrada no cuadran con la RF-007</t>
  </si>
  <si>
    <t>RF-011</t>
  </si>
  <si>
    <t>HU-002.4</t>
  </si>
  <si>
    <t>CU-003.2</t>
  </si>
  <si>
    <t xml:space="preserve">Filtrado y Búsqueda de Productos
</t>
  </si>
  <si>
    <t>CA-001 esta mal redactado y el 005 esta duplicado</t>
  </si>
  <si>
    <t>Como mejora, se recomienda especificar los criterios de búsqueda permitidos y definir exactamente qué información debe visualizarse al consultar un usuario</t>
  </si>
  <si>
    <t>RF-012</t>
  </si>
  <si>
    <t>CU-003.3</t>
  </si>
  <si>
    <t xml:space="preserve">Agregar Producto al Carrito.
</t>
  </si>
  <si>
    <t>HU-003.1</t>
  </si>
  <si>
    <t>CU-003.4</t>
  </si>
  <si>
    <t xml:space="preserve">Visualizar Carrito de Compras
</t>
  </si>
  <si>
    <t>RF-013</t>
  </si>
  <si>
    <t>CU-003.5</t>
  </si>
  <si>
    <t>Modificar Cantidades en Carrito</t>
  </si>
  <si>
    <t>CU-003.6</t>
  </si>
  <si>
    <t xml:space="preserve">Seleccionar Método de Pago
</t>
  </si>
  <si>
    <t>Como mejora, se recomienda especificar si la eliminación es lógica o física, definir las restricciones de eliminación</t>
  </si>
  <si>
    <t>HU-003.2</t>
  </si>
  <si>
    <t xml:space="preserve">Gestión de Catálogo y Compras
</t>
  </si>
  <si>
    <t>CU-003.7</t>
  </si>
  <si>
    <t xml:space="preserve">Confirmar Compra
</t>
  </si>
  <si>
    <t>CU-003.8</t>
  </si>
  <si>
    <t>RF-014</t>
  </si>
  <si>
    <t xml:space="preserve"> Comprobante de Venta
</t>
  </si>
  <si>
    <t>RF-003.1</t>
  </si>
  <si>
    <t>HU-003.3</t>
  </si>
  <si>
    <t>CU-004.1</t>
  </si>
  <si>
    <t>RF-004.1</t>
  </si>
  <si>
    <t>Registrar Producto</t>
  </si>
  <si>
    <t>✗</t>
  </si>
  <si>
    <t>HU-003.4</t>
  </si>
  <si>
    <t>RF-015</t>
  </si>
  <si>
    <t>RF-003.2</t>
  </si>
  <si>
    <t>HU-003.5</t>
  </si>
  <si>
    <t>CU-004.2</t>
  </si>
  <si>
    <t>RF-004.2</t>
  </si>
  <si>
    <t>Listar / consultar productos</t>
  </si>
  <si>
    <t>CU-004.3</t>
  </si>
  <si>
    <t>RF-004.3</t>
  </si>
  <si>
    <t>RF-016</t>
  </si>
  <si>
    <t>Actualizar producto</t>
  </si>
  <si>
    <t>RF-003.3</t>
  </si>
  <si>
    <t>HU-003.6</t>
  </si>
  <si>
    <t>CU-004.4</t>
  </si>
  <si>
    <t>RF-004.4</t>
  </si>
  <si>
    <t>Deshabilitar  producto</t>
  </si>
  <si>
    <t>HU-003.7</t>
  </si>
  <si>
    <t>RF-017</t>
  </si>
  <si>
    <t>RF-003.4</t>
  </si>
  <si>
    <t>CU-005.1</t>
  </si>
  <si>
    <t>RF-005.1</t>
  </si>
  <si>
    <t>Reporte de ventas por mes</t>
  </si>
  <si>
    <t>HU-003.8</t>
  </si>
  <si>
    <t>RF-018</t>
  </si>
  <si>
    <t>RF-003.5</t>
  </si>
  <si>
    <t xml:space="preserve">
</t>
  </si>
  <si>
    <t>CU-005.2</t>
  </si>
  <si>
    <t>RF-005.2</t>
  </si>
  <si>
    <t>Top productos</t>
  </si>
  <si>
    <t>RF-019</t>
  </si>
  <si>
    <t>RF-003.6</t>
  </si>
  <si>
    <t>HU-004.1</t>
  </si>
  <si>
    <t>CU-005.3</t>
  </si>
  <si>
    <t>RF-005.3</t>
  </si>
  <si>
    <t xml:space="preserve">Resumen general </t>
  </si>
  <si>
    <t>RF-020</t>
  </si>
  <si>
    <t>CU-005.4</t>
  </si>
  <si>
    <t>RF-005.4</t>
  </si>
  <si>
    <t>RF-003.7</t>
  </si>
  <si>
    <t>Exportar PDF</t>
  </si>
  <si>
    <t>RF-021</t>
  </si>
  <si>
    <t>CU-006.1</t>
  </si>
  <si>
    <t>RF-003.8</t>
  </si>
  <si>
    <t>RF-006.1</t>
  </si>
  <si>
    <t xml:space="preserve">Registro de Movimiento </t>
  </si>
  <si>
    <t>HU-004.2</t>
  </si>
  <si>
    <t>El RF cuple correctamente con lla mayoria de puntos especificados, mas sin embargo con respeto al campo de "flujo alternativo", no ofrecio alguno, se relleno como un, "no aplica ".</t>
  </si>
  <si>
    <t>CU-006.2</t>
  </si>
  <si>
    <t>HU-004.3</t>
  </si>
  <si>
    <t>RF-006.2</t>
  </si>
  <si>
    <t>Gestion de Productos</t>
  </si>
  <si>
    <t xml:space="preserve">Notificación al Administrador por Bajo Stock </t>
  </si>
  <si>
    <t>HU-004.4</t>
  </si>
  <si>
    <t>CU-007.1</t>
  </si>
  <si>
    <t>RF-007.1 / 2</t>
  </si>
  <si>
    <t>RF-022</t>
  </si>
  <si>
    <t>Listar proveedores</t>
  </si>
  <si>
    <t>Registro de movimiento</t>
  </si>
  <si>
    <t>HU-005.1</t>
  </si>
  <si>
    <t>Reporte de Ventas por Mes</t>
  </si>
  <si>
    <t>no detalla los campos obligatorios ni sus formatos de validación (solo se infieren en el flujo principal: nombre, precio, categoría, proveedor, descripción, imagen).</t>
  </si>
  <si>
    <t>CU-007.2</t>
  </si>
  <si>
    <t>RF-007.3</t>
  </si>
  <si>
    <t>RF-023</t>
  </si>
  <si>
    <t>Crear proveedores</t>
  </si>
  <si>
    <t>CU-007.3</t>
  </si>
  <si>
    <t>RF-007.4</t>
  </si>
  <si>
    <t>Actualizar proveedores</t>
  </si>
  <si>
    <t>la postcondición de éxito habla de "información actualizada" de forma general, generando una ligera inconsistencia sobre qué campos realmente se visualizan. Contiene un error de redacción ("rol Administrador.}")</t>
  </si>
  <si>
    <t>RF-024</t>
  </si>
  <si>
    <t>CU-007.4</t>
  </si>
  <si>
    <t>RF-007.5</t>
  </si>
  <si>
    <t>HU-005.2</t>
  </si>
  <si>
    <t>Eliminar proveedores</t>
  </si>
  <si>
    <t>. El único punto pendiente es el campo "Entradas", que queda vacío pese a que el flujo principal menciona los campos editables (nombre, precio, categoría, proveedor, imagen); estos deberían formalizarse en la sección de Entradas.</t>
  </si>
  <si>
    <t>RF-025</t>
  </si>
  <si>
    <t>HU-005.3</t>
  </si>
  <si>
    <t>Resumen general</t>
  </si>
  <si>
    <t>el nombre del requisito y el flujo principal usan el término "Deshabilitar", pero la Descripción y la Postcondición usan "eliminar" ("el producto queda eliminado del backend").</t>
  </si>
  <si>
    <t>HU-005.4</t>
  </si>
  <si>
    <t>Gestión de reportes y estadísticas</t>
  </si>
  <si>
    <t>HU-006.1</t>
  </si>
  <si>
    <t>RF-026</t>
  </si>
  <si>
    <t xml:space="preserve">Reporte de ventas por mes </t>
  </si>
  <si>
    <t>RF-027</t>
  </si>
  <si>
    <t xml:space="preserve">Top productos </t>
  </si>
  <si>
    <t>HU-006.2</t>
  </si>
  <si>
    <t>RF-028</t>
  </si>
  <si>
    <t>HU-007.1</t>
  </si>
  <si>
    <t>RF-029</t>
  </si>
  <si>
    <t>HU-007.2</t>
  </si>
  <si>
    <t>Gestión de movimientos</t>
  </si>
  <si>
    <t>HU-007.3</t>
  </si>
  <si>
    <t>RF-030</t>
  </si>
  <si>
    <t>Registro movimeintos</t>
  </si>
  <si>
    <t>HU-007.4</t>
  </si>
  <si>
    <t>RF-031</t>
  </si>
  <si>
    <t>Notificación al administrador por bajo stock</t>
  </si>
  <si>
    <t>Gestión de proveedores</t>
  </si>
  <si>
    <t>RF-032</t>
  </si>
  <si>
    <t>RF-007.1</t>
  </si>
  <si>
    <t>RF-033</t>
  </si>
  <si>
    <t>RF-007.2</t>
  </si>
  <si>
    <t>Consultar proveedores</t>
  </si>
  <si>
    <t>RF-034</t>
  </si>
  <si>
    <t>RF-035</t>
  </si>
  <si>
    <t>RF-036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</si>
</sst>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Arial"/>
    </font>
    <font>
      <sz val="10.0"/>
      <color theme="1"/>
      <name val="Arial"/>
    </font>
    <font>
      <b/>
      <sz val="11.0"/>
      <color rgb="FF2C7A00"/>
      <name val="Arial"/>
    </font>
    <font>
      <sz val="26.0"/>
      <color theme="1"/>
      <name val="Arial"/>
    </font>
    <font/>
    <font>
      <b/>
      <sz val="10.0"/>
      <color rgb="FFFFFFFF"/>
      <name val="Arial"/>
    </font>
    <font>
      <i/>
      <sz val="9.0"/>
      <color rgb="FF808080"/>
      <name val="Arial"/>
    </font>
    <font>
      <sz val="10.0"/>
      <color rgb="FF000000"/>
      <name val="Arial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C7A00"/>
        <bgColor rgb="FF2C7A00"/>
      </patternFill>
    </fill>
    <fill>
      <patternFill patternType="solid">
        <fgColor rgb="FF39A900"/>
        <bgColor rgb="FF39A900"/>
      </patternFill>
    </fill>
    <fill>
      <patternFill patternType="solid">
        <fgColor rgb="FFFCE5CD"/>
        <bgColor rgb="FFFCE5CD"/>
      </patternFill>
    </fill>
  </fills>
  <borders count="1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bottom" wrapText="0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top" wrapText="1"/>
    </xf>
    <xf borderId="2" fillId="2" fontId="1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0" fillId="0" fontId="3" numFmtId="0" xfId="0" applyAlignment="1" applyFont="1">
      <alignment horizontal="center" shrinkToFit="0" vertical="bottom" wrapText="0"/>
    </xf>
    <xf borderId="4" fillId="0" fontId="5" numFmtId="0" xfId="0" applyBorder="1" applyFont="1"/>
    <xf borderId="0" fillId="0" fontId="2" numFmtId="0" xfId="0" applyAlignment="1" applyFont="1">
      <alignment horizontal="center" shrinkToFit="0" vertical="top" wrapText="1"/>
    </xf>
    <xf borderId="5" fillId="3" fontId="6" numFmtId="0" xfId="0" applyAlignment="1" applyBorder="1" applyFill="1" applyFont="1">
      <alignment horizontal="center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top" wrapText="1"/>
    </xf>
    <xf borderId="5" fillId="3" fontId="6" numFmtId="0" xfId="0" applyAlignment="1" applyBorder="1" applyFont="1">
      <alignment horizontal="center" readingOrder="0" shrinkToFit="0" vertical="center" wrapText="1"/>
    </xf>
    <xf borderId="5" fillId="4" fontId="2" numFmtId="0" xfId="0" applyAlignment="1" applyBorder="1" applyFill="1" applyFont="1">
      <alignment horizontal="center" readingOrder="0" shrinkToFit="0" vertical="center" wrapText="0"/>
    </xf>
    <xf borderId="5" fillId="4" fontId="2" numFmtId="0" xfId="0" applyAlignment="1" applyBorder="1" applyFont="1">
      <alignment horizontal="center" shrinkToFit="0" vertical="center" wrapText="0"/>
    </xf>
    <xf borderId="6" fillId="4" fontId="2" numFmtId="0" xfId="0" applyAlignment="1" applyBorder="1" applyFont="1">
      <alignment horizontal="center" shrinkToFit="0" vertical="center" wrapText="0"/>
    </xf>
    <xf borderId="7" fillId="0" fontId="5" numFmtId="0" xfId="0" applyBorder="1" applyFont="1"/>
    <xf borderId="8" fillId="0" fontId="5" numFmtId="0" xfId="0" applyBorder="1" applyFont="1"/>
    <xf borderId="6" fillId="4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center" shrinkToFit="0" vertical="center" wrapText="0"/>
    </xf>
    <xf borderId="5" fillId="0" fontId="2" numFmtId="9" xfId="0" applyAlignment="1" applyBorder="1" applyFont="1" applyNumberFormat="1">
      <alignment horizontal="center" shrinkToFit="0" vertical="center" wrapText="0"/>
    </xf>
    <xf borderId="5" fillId="0" fontId="2" numFmtId="0" xfId="0" applyAlignment="1" applyBorder="1" applyFont="1">
      <alignment horizontal="left" shrinkToFit="0" vertical="center" wrapText="0"/>
    </xf>
    <xf borderId="5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left" readingOrder="0" shrinkToFit="0" vertical="center" wrapText="0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/>
    </xf>
    <xf borderId="9" fillId="0" fontId="2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center" shrinkToFit="0" vertical="center" wrapText="0"/>
    </xf>
    <xf borderId="6" fillId="4" fontId="2" numFmtId="0" xfId="0" applyAlignment="1" applyBorder="1" applyFont="1">
      <alignment horizontal="center" readingOrder="0" shrinkToFit="0" vertical="center" wrapText="0"/>
    </xf>
    <xf borderId="5" fillId="4" fontId="2" numFmtId="0" xfId="0" applyAlignment="1" applyBorder="1" applyFont="1">
      <alignment horizontal="left" readingOrder="0" shrinkToFit="0" vertical="center" wrapText="1"/>
    </xf>
    <xf borderId="5" fillId="4" fontId="9" numFmtId="0" xfId="0" applyBorder="1" applyFont="1"/>
    <xf borderId="5" fillId="4" fontId="2" numFmtId="9" xfId="0" applyAlignment="1" applyBorder="1" applyFont="1" applyNumberFormat="1">
      <alignment horizontal="center" shrinkToFit="0" vertical="center" wrapText="0"/>
    </xf>
    <xf borderId="5" fillId="4" fontId="2" numFmtId="0" xfId="0" applyAlignment="1" applyBorder="1" applyFont="1">
      <alignment horizontal="left" shrinkToFit="0" vertical="center" wrapText="1"/>
    </xf>
    <xf borderId="0" fillId="4" fontId="10" numFmtId="0" xfId="0" applyFont="1"/>
    <xf borderId="5" fillId="0" fontId="11" numFmtId="0" xfId="0" applyAlignment="1" applyBorder="1" applyFont="1">
      <alignment shrinkToFit="0" wrapText="1"/>
    </xf>
    <xf borderId="5" fillId="0" fontId="11" numFmtId="0" xfId="0" applyAlignment="1" applyBorder="1" applyFont="1">
      <alignment shrinkToFit="0" wrapText="1"/>
    </xf>
    <xf borderId="7" fillId="4" fontId="2" numFmtId="0" xfId="0" applyAlignment="1" applyBorder="1" applyFont="1">
      <alignment horizontal="center" readingOrder="0" shrinkToFit="0" vertical="center" wrapText="0"/>
    </xf>
    <xf borderId="8" fillId="4" fontId="2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8CBCB"/>
          <bgColor rgb="FFF8CBCB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3.71"/>
    <col customWidth="1" min="2" max="26" width="8.71"/>
  </cols>
  <sheetData>
    <row r="1" ht="30.0" customHeight="1">
      <c r="A1" s="1" t="s">
        <v>1</v>
      </c>
    </row>
    <row r="3">
      <c r="A3" s="3"/>
    </row>
    <row r="4">
      <c r="A4" s="4"/>
    </row>
    <row r="5" ht="45.0" customHeight="1">
      <c r="A5" s="6" t="s">
        <v>4</v>
      </c>
    </row>
    <row r="6">
      <c r="A6" s="3"/>
    </row>
    <row r="7">
      <c r="A7" s="4"/>
    </row>
    <row r="8">
      <c r="A8" s="3"/>
    </row>
    <row r="9">
      <c r="A9" s="3"/>
    </row>
    <row r="10">
      <c r="A10" s="9" t="s">
        <v>5</v>
      </c>
    </row>
    <row r="11">
      <c r="A11" s="11" t="s">
        <v>6</v>
      </c>
    </row>
    <row r="12">
      <c r="A12" s="11" t="s">
        <v>8</v>
      </c>
    </row>
    <row r="13">
      <c r="A13" s="11" t="s">
        <v>10</v>
      </c>
    </row>
    <row r="14">
      <c r="A14" s="11" t="s">
        <v>12</v>
      </c>
    </row>
    <row r="15">
      <c r="A15" s="3"/>
    </row>
    <row r="16">
      <c r="A16" s="3"/>
    </row>
    <row r="17">
      <c r="A17" s="3"/>
    </row>
    <row r="18">
      <c r="A18" s="14"/>
    </row>
    <row r="19">
      <c r="A1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2" width="12.0"/>
    <col customWidth="1" min="3" max="3" width="34.0"/>
    <col customWidth="1" min="4" max="10" width="13.0"/>
    <col customWidth="1" min="11" max="14" width="14.86"/>
    <col customWidth="1" min="15" max="15" width="14.0"/>
    <col customWidth="1" min="16" max="16" width="18.71"/>
    <col customWidth="1" min="17" max="17" width="68.57"/>
    <col customWidth="1" min="18" max="30" width="8.71"/>
  </cols>
  <sheetData>
    <row r="1" ht="30.0" customHeight="1">
      <c r="A1" s="2"/>
      <c r="B1" s="7" t="s">
        <v>3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0"/>
    </row>
    <row r="2" ht="54.75" customHeight="1">
      <c r="A2" s="13" t="s">
        <v>9</v>
      </c>
      <c r="B2" s="12" t="s">
        <v>15</v>
      </c>
      <c r="C2" s="12" t="s">
        <v>17</v>
      </c>
      <c r="D2" s="12" t="s">
        <v>20</v>
      </c>
      <c r="E2" s="12" t="s">
        <v>23</v>
      </c>
      <c r="F2" s="12" t="s">
        <v>26</v>
      </c>
      <c r="G2" s="12" t="s">
        <v>28</v>
      </c>
      <c r="H2" s="12" t="s">
        <v>31</v>
      </c>
      <c r="I2" s="12" t="s">
        <v>34</v>
      </c>
      <c r="J2" s="15" t="s">
        <v>37</v>
      </c>
      <c r="K2" s="15" t="s">
        <v>39</v>
      </c>
      <c r="L2" s="15" t="s">
        <v>41</v>
      </c>
      <c r="M2" s="15" t="s">
        <v>45</v>
      </c>
      <c r="N2" s="15" t="s">
        <v>46</v>
      </c>
      <c r="O2" s="12" t="s">
        <v>40</v>
      </c>
      <c r="P2" s="12" t="s">
        <v>43</v>
      </c>
      <c r="Q2" s="12" t="s">
        <v>44</v>
      </c>
    </row>
    <row r="3" ht="19.5" customHeight="1">
      <c r="A3" s="17"/>
      <c r="B3" s="17" t="s">
        <v>47</v>
      </c>
      <c r="C3" s="21" t="s">
        <v>48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20"/>
    </row>
    <row r="4" ht="39.0" customHeight="1">
      <c r="A4" s="24" t="s">
        <v>47</v>
      </c>
      <c r="B4" s="22" t="s">
        <v>52</v>
      </c>
      <c r="C4" s="23" t="s">
        <v>50</v>
      </c>
      <c r="D4" s="22" t="s">
        <v>53</v>
      </c>
      <c r="E4" s="22" t="s">
        <v>53</v>
      </c>
      <c r="F4" s="22" t="s">
        <v>53</v>
      </c>
      <c r="G4" s="22" t="s">
        <v>54</v>
      </c>
      <c r="H4" s="22" t="s">
        <v>53</v>
      </c>
      <c r="I4" s="22" t="s">
        <v>53</v>
      </c>
      <c r="J4" s="22" t="s">
        <v>53</v>
      </c>
      <c r="K4" s="22" t="s">
        <v>53</v>
      </c>
      <c r="L4" s="22" t="s">
        <v>53</v>
      </c>
      <c r="M4" s="22" t="s">
        <v>53</v>
      </c>
      <c r="N4" s="22" t="s">
        <v>53</v>
      </c>
      <c r="O4" s="25">
        <f t="shared" ref="O4:O12" si="1">IF(COUNTA(D4:N4)=0,"",(COUNTIF(D4:N4,"✓")+COUNTIF(D4:N4,"⚠")*0.5)/11)</f>
        <v>0.9545454545</v>
      </c>
      <c r="P4" s="24" t="str">
        <f t="shared" ref="P4:P17" si="2">IF(O4="","",IF(O4&gt;=0.9,"CUMPLE",IF(O4&gt;=0.6,"CUMPLE PARCIAL","NO CUMPLE")))</f>
        <v>CUMPLE</v>
      </c>
      <c r="Q4" s="23" t="s">
        <v>65</v>
      </c>
    </row>
    <row r="5" ht="19.5" customHeight="1">
      <c r="A5" s="22" t="s">
        <v>66</v>
      </c>
      <c r="B5" s="22" t="s">
        <v>68</v>
      </c>
      <c r="C5" s="23" t="s">
        <v>64</v>
      </c>
      <c r="D5" s="22" t="s">
        <v>53</v>
      </c>
      <c r="E5" s="22" t="s">
        <v>53</v>
      </c>
      <c r="F5" s="22" t="s">
        <v>53</v>
      </c>
      <c r="G5" s="22" t="s">
        <v>53</v>
      </c>
      <c r="H5" s="22" t="s">
        <v>53</v>
      </c>
      <c r="I5" s="22" t="s">
        <v>53</v>
      </c>
      <c r="J5" s="22" t="s">
        <v>53</v>
      </c>
      <c r="K5" s="22" t="s">
        <v>53</v>
      </c>
      <c r="L5" s="22" t="s">
        <v>53</v>
      </c>
      <c r="M5" s="22" t="s">
        <v>53</v>
      </c>
      <c r="N5" s="22" t="s">
        <v>53</v>
      </c>
      <c r="O5" s="25">
        <f t="shared" si="1"/>
        <v>1</v>
      </c>
      <c r="P5" s="24" t="str">
        <f t="shared" si="2"/>
        <v>CUMPLE</v>
      </c>
      <c r="Q5" s="27"/>
    </row>
    <row r="6" ht="19.5" customHeight="1">
      <c r="A6" s="22" t="s">
        <v>74</v>
      </c>
      <c r="B6" s="22" t="s">
        <v>73</v>
      </c>
      <c r="C6" s="23" t="s">
        <v>71</v>
      </c>
      <c r="D6" s="22" t="s">
        <v>53</v>
      </c>
      <c r="E6" s="22" t="s">
        <v>53</v>
      </c>
      <c r="F6" s="22" t="s">
        <v>53</v>
      </c>
      <c r="G6" s="22" t="s">
        <v>54</v>
      </c>
      <c r="H6" s="22" t="s">
        <v>53</v>
      </c>
      <c r="I6" s="22" t="s">
        <v>53</v>
      </c>
      <c r="J6" s="22" t="s">
        <v>53</v>
      </c>
      <c r="K6" s="22" t="s">
        <v>53</v>
      </c>
      <c r="L6" s="22" t="s">
        <v>53</v>
      </c>
      <c r="M6" s="22" t="s">
        <v>53</v>
      </c>
      <c r="N6" s="22" t="s">
        <v>53</v>
      </c>
      <c r="O6" s="25">
        <f t="shared" si="1"/>
        <v>0.9545454545</v>
      </c>
      <c r="P6" s="24" t="str">
        <f t="shared" si="2"/>
        <v>CUMPLE</v>
      </c>
      <c r="Q6" s="23" t="s">
        <v>82</v>
      </c>
    </row>
    <row r="7" ht="19.5" customHeight="1">
      <c r="A7" s="22" t="s">
        <v>83</v>
      </c>
      <c r="B7" s="22" t="s">
        <v>81</v>
      </c>
      <c r="C7" s="23" t="s">
        <v>80</v>
      </c>
      <c r="D7" s="22" t="s">
        <v>54</v>
      </c>
      <c r="E7" s="22" t="s">
        <v>53</v>
      </c>
      <c r="F7" s="22" t="s">
        <v>53</v>
      </c>
      <c r="G7" s="22" t="s">
        <v>53</v>
      </c>
      <c r="H7" s="22" t="s">
        <v>53</v>
      </c>
      <c r="I7" s="22" t="s">
        <v>53</v>
      </c>
      <c r="J7" s="22" t="s">
        <v>53</v>
      </c>
      <c r="K7" s="22" t="s">
        <v>53</v>
      </c>
      <c r="L7" s="22" t="s">
        <v>53</v>
      </c>
      <c r="M7" s="22" t="s">
        <v>53</v>
      </c>
      <c r="N7" s="22" t="s">
        <v>53</v>
      </c>
      <c r="O7" s="25">
        <f t="shared" si="1"/>
        <v>0.9545454545</v>
      </c>
      <c r="P7" s="24" t="str">
        <f t="shared" si="2"/>
        <v>CUMPLE</v>
      </c>
      <c r="Q7" s="23" t="s">
        <v>90</v>
      </c>
    </row>
    <row r="8" ht="19.5" customHeight="1">
      <c r="A8" s="24" t="s">
        <v>94</v>
      </c>
      <c r="B8" s="22" t="s">
        <v>89</v>
      </c>
      <c r="C8" s="23" t="s">
        <v>88</v>
      </c>
      <c r="D8" s="22" t="s">
        <v>53</v>
      </c>
      <c r="E8" s="22" t="s">
        <v>53</v>
      </c>
      <c r="F8" s="22" t="s">
        <v>53</v>
      </c>
      <c r="G8" s="22" t="s">
        <v>53</v>
      </c>
      <c r="H8" s="22" t="s">
        <v>53</v>
      </c>
      <c r="I8" s="22" t="s">
        <v>53</v>
      </c>
      <c r="J8" s="22" t="s">
        <v>53</v>
      </c>
      <c r="K8" s="22" t="s">
        <v>53</v>
      </c>
      <c r="L8" s="22" t="s">
        <v>54</v>
      </c>
      <c r="M8" s="22" t="s">
        <v>53</v>
      </c>
      <c r="N8" s="22" t="s">
        <v>53</v>
      </c>
      <c r="O8" s="25">
        <f t="shared" si="1"/>
        <v>0.9545454545</v>
      </c>
      <c r="P8" s="24" t="str">
        <f t="shared" si="2"/>
        <v>CUMPLE</v>
      </c>
      <c r="Q8" s="23" t="s">
        <v>101</v>
      </c>
    </row>
    <row r="9" ht="19.5" customHeight="1">
      <c r="A9" s="22" t="s">
        <v>102</v>
      </c>
      <c r="B9" s="22" t="s">
        <v>95</v>
      </c>
      <c r="C9" s="23" t="s">
        <v>96</v>
      </c>
      <c r="D9" s="22" t="s">
        <v>53</v>
      </c>
      <c r="E9" s="22" t="s">
        <v>53</v>
      </c>
      <c r="F9" s="22" t="s">
        <v>53</v>
      </c>
      <c r="G9" s="22" t="s">
        <v>53</v>
      </c>
      <c r="H9" s="22" t="s">
        <v>53</v>
      </c>
      <c r="I9" s="22" t="s">
        <v>53</v>
      </c>
      <c r="J9" s="22" t="s">
        <v>53</v>
      </c>
      <c r="K9" s="22" t="s">
        <v>53</v>
      </c>
      <c r="L9" s="22" t="s">
        <v>53</v>
      </c>
      <c r="M9" s="22" t="s">
        <v>53</v>
      </c>
      <c r="N9" s="22" t="s">
        <v>53</v>
      </c>
      <c r="O9" s="25">
        <f t="shared" si="1"/>
        <v>1</v>
      </c>
      <c r="P9" s="24" t="str">
        <f t="shared" si="2"/>
        <v>CUMPLE</v>
      </c>
      <c r="Q9" s="23"/>
    </row>
    <row r="10" ht="39.0" customHeight="1">
      <c r="A10" s="22" t="s">
        <v>109</v>
      </c>
      <c r="B10" s="22" t="s">
        <v>100</v>
      </c>
      <c r="C10" s="30" t="s">
        <v>99</v>
      </c>
      <c r="D10" s="22" t="s">
        <v>53</v>
      </c>
      <c r="E10" s="22" t="s">
        <v>53</v>
      </c>
      <c r="F10" s="22" t="s">
        <v>53</v>
      </c>
      <c r="G10" s="22" t="s">
        <v>53</v>
      </c>
      <c r="H10" s="22" t="s">
        <v>53</v>
      </c>
      <c r="I10" s="22" t="s">
        <v>53</v>
      </c>
      <c r="J10" s="22" t="s">
        <v>53</v>
      </c>
      <c r="K10" s="22" t="s">
        <v>53</v>
      </c>
      <c r="L10" s="22" t="s">
        <v>53</v>
      </c>
      <c r="M10" s="22" t="s">
        <v>53</v>
      </c>
      <c r="N10" s="22" t="s">
        <v>53</v>
      </c>
      <c r="O10" s="25">
        <f t="shared" si="1"/>
        <v>1</v>
      </c>
      <c r="P10" s="24" t="str">
        <f t="shared" si="2"/>
        <v>CUMPLE</v>
      </c>
      <c r="Q10" s="23" t="s">
        <v>115</v>
      </c>
    </row>
    <row r="11" ht="30.0" customHeight="1">
      <c r="A11" s="22" t="s">
        <v>116</v>
      </c>
      <c r="B11" s="22" t="s">
        <v>107</v>
      </c>
      <c r="C11" s="23" t="s">
        <v>108</v>
      </c>
      <c r="D11" s="22" t="s">
        <v>53</v>
      </c>
      <c r="E11" s="22" t="s">
        <v>53</v>
      </c>
      <c r="F11" s="22" t="s">
        <v>53</v>
      </c>
      <c r="G11" s="22" t="s">
        <v>53</v>
      </c>
      <c r="H11" s="22" t="s">
        <v>53</v>
      </c>
      <c r="I11" s="22" t="s">
        <v>53</v>
      </c>
      <c r="J11" s="22" t="s">
        <v>53</v>
      </c>
      <c r="K11" s="22" t="s">
        <v>53</v>
      </c>
      <c r="L11" s="22" t="s">
        <v>53</v>
      </c>
      <c r="M11" s="22" t="s">
        <v>53</v>
      </c>
      <c r="N11" s="22" t="s">
        <v>53</v>
      </c>
      <c r="O11" s="25">
        <f t="shared" si="1"/>
        <v>1</v>
      </c>
      <c r="P11" s="24" t="str">
        <f t="shared" si="2"/>
        <v>CUMPLE</v>
      </c>
      <c r="Q11" s="23" t="s">
        <v>117</v>
      </c>
    </row>
    <row r="12" ht="19.5" customHeight="1">
      <c r="A12" s="24" t="s">
        <v>118</v>
      </c>
      <c r="B12" s="22" t="s">
        <v>112</v>
      </c>
      <c r="C12" s="23" t="s">
        <v>114</v>
      </c>
      <c r="D12" s="22" t="s">
        <v>53</v>
      </c>
      <c r="E12" s="22" t="s">
        <v>53</v>
      </c>
      <c r="F12" s="22" t="s">
        <v>53</v>
      </c>
      <c r="G12" s="22" t="s">
        <v>53</v>
      </c>
      <c r="H12" s="22" t="s">
        <v>53</v>
      </c>
      <c r="I12" s="22" t="s">
        <v>53</v>
      </c>
      <c r="J12" s="22" t="s">
        <v>53</v>
      </c>
      <c r="K12" s="22" t="s">
        <v>53</v>
      </c>
      <c r="L12" s="22" t="s">
        <v>53</v>
      </c>
      <c r="M12" s="22" t="s">
        <v>53</v>
      </c>
      <c r="N12" s="22" t="s">
        <v>53</v>
      </c>
      <c r="O12" s="25">
        <f t="shared" si="1"/>
        <v>1</v>
      </c>
      <c r="P12" s="24" t="str">
        <f t="shared" si="2"/>
        <v>CUMPLE</v>
      </c>
      <c r="Q12" s="27"/>
    </row>
    <row r="13" ht="19.5" customHeight="1">
      <c r="A13" s="16"/>
      <c r="B13" s="16" t="s">
        <v>66</v>
      </c>
      <c r="C13" s="34" t="s">
        <v>122</v>
      </c>
      <c r="D13" s="17"/>
      <c r="E13" s="17"/>
      <c r="F13" s="17"/>
      <c r="G13" s="17"/>
      <c r="H13" s="17"/>
      <c r="I13" s="17"/>
      <c r="J13" s="17"/>
      <c r="K13" s="35"/>
      <c r="L13" s="35"/>
      <c r="M13" s="35"/>
      <c r="N13" s="35"/>
      <c r="O13" s="36" t="str">
        <f>IF(COUNTA(D13:J13)=0,"",(COUNTIF(D13:J13,"✓")+COUNTIF(D13:J13,"⚠")*0.5)/8)</f>
        <v/>
      </c>
      <c r="P13" s="17" t="str">
        <f t="shared" si="2"/>
        <v/>
      </c>
      <c r="Q13" s="37"/>
    </row>
    <row r="14" ht="19.5" customHeight="1">
      <c r="A14" s="22" t="s">
        <v>131</v>
      </c>
      <c r="B14" s="22" t="s">
        <v>120</v>
      </c>
      <c r="C14" s="23" t="s">
        <v>50</v>
      </c>
      <c r="D14" s="22" t="s">
        <v>53</v>
      </c>
      <c r="E14" s="22" t="s">
        <v>53</v>
      </c>
      <c r="F14" s="22" t="s">
        <v>53</v>
      </c>
      <c r="G14" s="22" t="s">
        <v>53</v>
      </c>
      <c r="H14" s="22" t="s">
        <v>53</v>
      </c>
      <c r="I14" s="22" t="s">
        <v>53</v>
      </c>
      <c r="J14" s="22" t="s">
        <v>53</v>
      </c>
      <c r="K14" s="22" t="s">
        <v>53</v>
      </c>
      <c r="L14" s="22" t="s">
        <v>53</v>
      </c>
      <c r="M14" s="22" t="s">
        <v>53</v>
      </c>
      <c r="N14" s="22" t="s">
        <v>53</v>
      </c>
      <c r="O14" s="25">
        <f t="shared" ref="O14:O17" si="3">IF(COUNTA(D14:N14)=0,"",(COUNTIF(D14:N14,"✓")+COUNTIF(D14:N14,"⚠")*0.5)/11)</f>
        <v>1</v>
      </c>
      <c r="P14" s="24" t="str">
        <f t="shared" si="2"/>
        <v>CUMPLE</v>
      </c>
      <c r="Q14" s="27"/>
    </row>
    <row r="15" ht="42.0" customHeight="1">
      <c r="A15" s="22" t="s">
        <v>139</v>
      </c>
      <c r="B15" s="22" t="s">
        <v>124</v>
      </c>
      <c r="C15" s="23" t="s">
        <v>125</v>
      </c>
      <c r="D15" s="22" t="s">
        <v>53</v>
      </c>
      <c r="E15" s="22" t="s">
        <v>53</v>
      </c>
      <c r="F15" s="22" t="s">
        <v>53</v>
      </c>
      <c r="G15" s="22" t="s">
        <v>53</v>
      </c>
      <c r="H15" s="22" t="s">
        <v>53</v>
      </c>
      <c r="I15" s="22" t="s">
        <v>53</v>
      </c>
      <c r="J15" s="22" t="s">
        <v>53</v>
      </c>
      <c r="K15" s="22" t="s">
        <v>53</v>
      </c>
      <c r="L15" s="22" t="s">
        <v>53</v>
      </c>
      <c r="M15" s="22" t="s">
        <v>53</v>
      </c>
      <c r="N15" s="22" t="s">
        <v>53</v>
      </c>
      <c r="O15" s="25">
        <f t="shared" si="3"/>
        <v>1</v>
      </c>
      <c r="P15" s="24" t="str">
        <f t="shared" si="2"/>
        <v>CUMPLE</v>
      </c>
      <c r="Q15" s="23" t="s">
        <v>144</v>
      </c>
    </row>
    <row r="16" ht="19.5" customHeight="1">
      <c r="A16" s="22" t="s">
        <v>145</v>
      </c>
      <c r="B16" s="22" t="s">
        <v>127</v>
      </c>
      <c r="C16" s="23" t="s">
        <v>128</v>
      </c>
      <c r="D16" s="22" t="s">
        <v>53</v>
      </c>
      <c r="E16" s="22" t="s">
        <v>53</v>
      </c>
      <c r="F16" s="22" t="s">
        <v>53</v>
      </c>
      <c r="G16" s="22" t="s">
        <v>53</v>
      </c>
      <c r="H16" s="22" t="s">
        <v>53</v>
      </c>
      <c r="I16" s="22" t="s">
        <v>53</v>
      </c>
      <c r="J16" s="22" t="s">
        <v>53</v>
      </c>
      <c r="K16" s="22" t="s">
        <v>53</v>
      </c>
      <c r="L16" s="22" t="s">
        <v>53</v>
      </c>
      <c r="M16" s="22" t="s">
        <v>53</v>
      </c>
      <c r="N16" s="22" t="s">
        <v>53</v>
      </c>
      <c r="O16" s="25">
        <f t="shared" si="3"/>
        <v>1</v>
      </c>
      <c r="P16" s="24" t="str">
        <f t="shared" si="2"/>
        <v>CUMPLE</v>
      </c>
      <c r="Q16" s="27"/>
    </row>
    <row r="17" ht="39.75" customHeight="1">
      <c r="A17" s="22" t="s">
        <v>151</v>
      </c>
      <c r="B17" s="22" t="s">
        <v>133</v>
      </c>
      <c r="C17" s="23" t="s">
        <v>134</v>
      </c>
      <c r="D17" s="22" t="s">
        <v>53</v>
      </c>
      <c r="E17" s="22" t="s">
        <v>53</v>
      </c>
      <c r="F17" s="22" t="s">
        <v>53</v>
      </c>
      <c r="G17" s="22" t="s">
        <v>53</v>
      </c>
      <c r="H17" s="22" t="s">
        <v>53</v>
      </c>
      <c r="I17" s="22" t="s">
        <v>53</v>
      </c>
      <c r="J17" s="22" t="s">
        <v>53</v>
      </c>
      <c r="K17" s="22" t="s">
        <v>53</v>
      </c>
      <c r="L17" s="22" t="s">
        <v>53</v>
      </c>
      <c r="M17" s="22" t="s">
        <v>53</v>
      </c>
      <c r="N17" s="22" t="s">
        <v>53</v>
      </c>
      <c r="O17" s="25">
        <f t="shared" si="3"/>
        <v>1</v>
      </c>
      <c r="P17" s="24" t="str">
        <f t="shared" si="2"/>
        <v>CUMPLE</v>
      </c>
      <c r="Q17" s="23" t="s">
        <v>156</v>
      </c>
    </row>
    <row r="18" ht="19.5" customHeight="1">
      <c r="A18" s="38"/>
      <c r="B18" s="16" t="s">
        <v>74</v>
      </c>
      <c r="C18" s="34" t="s">
        <v>158</v>
      </c>
      <c r="D18" s="34" t="s">
        <v>158</v>
      </c>
      <c r="E18" s="17"/>
      <c r="F18" s="17"/>
      <c r="G18" s="17"/>
      <c r="H18" s="17"/>
      <c r="I18" s="17"/>
      <c r="J18" s="17"/>
      <c r="K18" s="35"/>
      <c r="L18" s="35"/>
      <c r="M18" s="35"/>
      <c r="N18" s="35"/>
      <c r="O18" s="36"/>
      <c r="P18" s="17"/>
      <c r="Q18" s="37"/>
    </row>
    <row r="19" ht="19.5" customHeight="1">
      <c r="A19" s="22" t="s">
        <v>162</v>
      </c>
      <c r="B19" s="22" t="s">
        <v>164</v>
      </c>
      <c r="C19" s="23" t="s">
        <v>137</v>
      </c>
      <c r="D19" s="22" t="s">
        <v>53</v>
      </c>
      <c r="E19" s="22" t="s">
        <v>53</v>
      </c>
      <c r="F19" s="22" t="s">
        <v>53</v>
      </c>
      <c r="G19" s="22" t="s">
        <v>53</v>
      </c>
      <c r="H19" s="22" t="s">
        <v>53</v>
      </c>
      <c r="I19" s="22" t="s">
        <v>53</v>
      </c>
      <c r="J19" s="22" t="s">
        <v>53</v>
      </c>
      <c r="K19" s="22" t="s">
        <v>53</v>
      </c>
      <c r="L19" s="22" t="s">
        <v>53</v>
      </c>
      <c r="M19" s="22" t="s">
        <v>53</v>
      </c>
      <c r="N19" s="22" t="s">
        <v>53</v>
      </c>
      <c r="O19" s="25">
        <f t="shared" ref="O19:O26" si="4">IF(COUNTA(D19:N19)=0,"",(COUNTIF(D19:N19,"✓")+COUNTIF(D19:N19,"⚠")*0.5)/11)</f>
        <v>1</v>
      </c>
      <c r="P19" s="24" t="str">
        <f t="shared" ref="P19:P45" si="5">IF(O19="","",IF(O19&gt;=0.9,"CUMPLE",IF(O19&gt;=0.6,"CUMPLE PARCIAL","NO CUMPLE")))</f>
        <v>CUMPLE</v>
      </c>
      <c r="Q19" s="27"/>
    </row>
    <row r="20" ht="19.5" customHeight="1">
      <c r="A20" s="22" t="s">
        <v>171</v>
      </c>
      <c r="B20" s="22" t="s">
        <v>172</v>
      </c>
      <c r="C20" s="23" t="s">
        <v>142</v>
      </c>
      <c r="D20" s="22" t="s">
        <v>53</v>
      </c>
      <c r="E20" s="22" t="s">
        <v>53</v>
      </c>
      <c r="F20" s="22" t="s">
        <v>53</v>
      </c>
      <c r="G20" s="22" t="s">
        <v>53</v>
      </c>
      <c r="H20" s="22" t="s">
        <v>53</v>
      </c>
      <c r="I20" s="22" t="s">
        <v>53</v>
      </c>
      <c r="J20" s="22" t="s">
        <v>53</v>
      </c>
      <c r="K20" s="22" t="s">
        <v>53</v>
      </c>
      <c r="L20" s="22" t="s">
        <v>53</v>
      </c>
      <c r="M20" s="22" t="s">
        <v>53</v>
      </c>
      <c r="N20" s="22" t="s">
        <v>53</v>
      </c>
      <c r="O20" s="25">
        <f t="shared" si="4"/>
        <v>1</v>
      </c>
      <c r="P20" s="24" t="str">
        <f t="shared" si="5"/>
        <v>CUMPLE</v>
      </c>
      <c r="Q20" s="27"/>
    </row>
    <row r="21" ht="19.5" customHeight="1">
      <c r="A21" s="22" t="s">
        <v>179</v>
      </c>
      <c r="B21" s="22" t="s">
        <v>181</v>
      </c>
      <c r="C21" s="23" t="s">
        <v>147</v>
      </c>
      <c r="D21" s="22" t="s">
        <v>53</v>
      </c>
      <c r="E21" s="22" t="s">
        <v>53</v>
      </c>
      <c r="F21" s="22" t="s">
        <v>53</v>
      </c>
      <c r="G21" s="22" t="s">
        <v>53</v>
      </c>
      <c r="H21" s="22" t="s">
        <v>53</v>
      </c>
      <c r="I21" s="22" t="s">
        <v>53</v>
      </c>
      <c r="J21" s="22" t="s">
        <v>53</v>
      </c>
      <c r="K21" s="22" t="s">
        <v>53</v>
      </c>
      <c r="L21" s="22" t="s">
        <v>53</v>
      </c>
      <c r="M21" s="22" t="s">
        <v>53</v>
      </c>
      <c r="N21" s="22" t="s">
        <v>53</v>
      </c>
      <c r="O21" s="25">
        <f t="shared" si="4"/>
        <v>1</v>
      </c>
      <c r="P21" s="24" t="str">
        <f t="shared" si="5"/>
        <v>CUMPLE</v>
      </c>
      <c r="Q21" s="27"/>
    </row>
    <row r="22" ht="19.5" customHeight="1">
      <c r="A22" s="22" t="s">
        <v>187</v>
      </c>
      <c r="B22" s="22" t="s">
        <v>188</v>
      </c>
      <c r="C22" s="23" t="s">
        <v>150</v>
      </c>
      <c r="D22" s="22" t="s">
        <v>53</v>
      </c>
      <c r="E22" s="22" t="s">
        <v>53</v>
      </c>
      <c r="F22" s="22" t="s">
        <v>53</v>
      </c>
      <c r="G22" s="22" t="s">
        <v>53</v>
      </c>
      <c r="H22" s="22" t="s">
        <v>53</v>
      </c>
      <c r="I22" s="22" t="s">
        <v>53</v>
      </c>
      <c r="J22" s="22" t="s">
        <v>53</v>
      </c>
      <c r="K22" s="22" t="s">
        <v>53</v>
      </c>
      <c r="L22" s="22" t="s">
        <v>53</v>
      </c>
      <c r="M22" s="22" t="s">
        <v>53</v>
      </c>
      <c r="N22" s="22" t="s">
        <v>53</v>
      </c>
      <c r="O22" s="25">
        <f t="shared" si="4"/>
        <v>1</v>
      </c>
      <c r="P22" s="24" t="str">
        <f t="shared" si="5"/>
        <v>CUMPLE</v>
      </c>
      <c r="Q22" s="27"/>
    </row>
    <row r="23" ht="19.5" customHeight="1">
      <c r="A23" s="22" t="s">
        <v>193</v>
      </c>
      <c r="B23" s="22" t="s">
        <v>194</v>
      </c>
      <c r="C23" s="23" t="s">
        <v>153</v>
      </c>
      <c r="D23" s="22" t="s">
        <v>53</v>
      </c>
      <c r="E23" s="22" t="s">
        <v>53</v>
      </c>
      <c r="F23" s="22" t="s">
        <v>53</v>
      </c>
      <c r="G23" s="22" t="s">
        <v>53</v>
      </c>
      <c r="H23" s="22" t="s">
        <v>53</v>
      </c>
      <c r="I23" s="22" t="s">
        <v>53</v>
      </c>
      <c r="J23" s="22" t="s">
        <v>53</v>
      </c>
      <c r="K23" s="22" t="s">
        <v>53</v>
      </c>
      <c r="L23" s="22" t="s">
        <v>53</v>
      </c>
      <c r="M23" s="22" t="s">
        <v>53</v>
      </c>
      <c r="N23" s="22" t="s">
        <v>53</v>
      </c>
      <c r="O23" s="25">
        <f t="shared" si="4"/>
        <v>1</v>
      </c>
      <c r="P23" s="24" t="str">
        <f t="shared" si="5"/>
        <v>CUMPLE</v>
      </c>
      <c r="Q23" s="27"/>
    </row>
    <row r="24" ht="19.5" customHeight="1">
      <c r="A24" s="22" t="s">
        <v>199</v>
      </c>
      <c r="B24" s="22" t="s">
        <v>200</v>
      </c>
      <c r="C24" s="23" t="s">
        <v>155</v>
      </c>
      <c r="D24" s="22" t="s">
        <v>53</v>
      </c>
      <c r="E24" s="22" t="s">
        <v>53</v>
      </c>
      <c r="F24" s="22" t="s">
        <v>53</v>
      </c>
      <c r="G24" s="22" t="s">
        <v>53</v>
      </c>
      <c r="H24" s="22" t="s">
        <v>53</v>
      </c>
      <c r="I24" s="22" t="s">
        <v>53</v>
      </c>
      <c r="J24" s="22" t="s">
        <v>53</v>
      </c>
      <c r="K24" s="22" t="s">
        <v>53</v>
      </c>
      <c r="L24" s="22" t="s">
        <v>53</v>
      </c>
      <c r="M24" s="22" t="s">
        <v>53</v>
      </c>
      <c r="N24" s="22" t="s">
        <v>53</v>
      </c>
      <c r="O24" s="25">
        <f t="shared" si="4"/>
        <v>1</v>
      </c>
      <c r="P24" s="24" t="str">
        <f t="shared" si="5"/>
        <v>CUMPLE</v>
      </c>
      <c r="Q24" s="27"/>
    </row>
    <row r="25" ht="19.5" customHeight="1">
      <c r="A25" s="22" t="s">
        <v>205</v>
      </c>
      <c r="B25" s="22" t="s">
        <v>208</v>
      </c>
      <c r="C25" s="23" t="s">
        <v>160</v>
      </c>
      <c r="D25" s="22" t="s">
        <v>53</v>
      </c>
      <c r="E25" s="22" t="s">
        <v>53</v>
      </c>
      <c r="F25" s="22" t="s">
        <v>53</v>
      </c>
      <c r="G25" s="22" t="s">
        <v>53</v>
      </c>
      <c r="H25" s="22" t="s">
        <v>53</v>
      </c>
      <c r="I25" s="22" t="s">
        <v>53</v>
      </c>
      <c r="J25" s="22" t="s">
        <v>53</v>
      </c>
      <c r="K25" s="22" t="s">
        <v>53</v>
      </c>
      <c r="L25" s="22" t="s">
        <v>53</v>
      </c>
      <c r="M25" s="22" t="s">
        <v>53</v>
      </c>
      <c r="N25" s="22" t="s">
        <v>53</v>
      </c>
      <c r="O25" s="25">
        <f t="shared" si="4"/>
        <v>1</v>
      </c>
      <c r="P25" s="24" t="str">
        <f t="shared" si="5"/>
        <v>CUMPLE</v>
      </c>
      <c r="Q25" s="27"/>
    </row>
    <row r="26" ht="36.75" customHeight="1">
      <c r="A26" s="22" t="s">
        <v>210</v>
      </c>
      <c r="B26" s="22" t="s">
        <v>212</v>
      </c>
      <c r="C26" s="23" t="s">
        <v>163</v>
      </c>
      <c r="D26" s="22" t="s">
        <v>54</v>
      </c>
      <c r="E26" s="22" t="s">
        <v>53</v>
      </c>
      <c r="F26" s="22" t="s">
        <v>53</v>
      </c>
      <c r="G26" s="22" t="s">
        <v>53</v>
      </c>
      <c r="H26" s="22" t="s">
        <v>53</v>
      </c>
      <c r="I26" s="22" t="s">
        <v>53</v>
      </c>
      <c r="J26" s="22" t="s">
        <v>53</v>
      </c>
      <c r="K26" s="22" t="s">
        <v>53</v>
      </c>
      <c r="L26" s="22" t="s">
        <v>53</v>
      </c>
      <c r="M26" s="22" t="s">
        <v>53</v>
      </c>
      <c r="N26" s="22" t="s">
        <v>53</v>
      </c>
      <c r="O26" s="25">
        <f t="shared" si="4"/>
        <v>0.9545454545</v>
      </c>
      <c r="P26" s="24" t="str">
        <f t="shared" si="5"/>
        <v>CUMPLE</v>
      </c>
      <c r="Q26" s="23" t="s">
        <v>216</v>
      </c>
    </row>
    <row r="27" ht="18.75" customHeight="1">
      <c r="A27" s="16"/>
      <c r="B27" s="16" t="s">
        <v>83</v>
      </c>
      <c r="C27" s="34" t="s">
        <v>220</v>
      </c>
      <c r="D27" s="17"/>
      <c r="E27" s="17"/>
      <c r="F27" s="17"/>
      <c r="G27" s="17"/>
      <c r="H27" s="17"/>
      <c r="I27" s="17"/>
      <c r="J27" s="17"/>
      <c r="K27" s="35"/>
      <c r="L27" s="35"/>
      <c r="M27" s="35"/>
      <c r="N27" s="35"/>
      <c r="O27" s="36" t="str">
        <f>IF(COUNTA(D27:J27)=0,"",(COUNTIF(D27:J27,"✓")+COUNTIF(D27:J27,"⚠")*0.5)/8)</f>
        <v/>
      </c>
      <c r="P27" s="17" t="str">
        <f t="shared" si="5"/>
        <v/>
      </c>
      <c r="Q27" s="37"/>
    </row>
    <row r="28" ht="42.0" customHeight="1">
      <c r="A28" s="22" t="s">
        <v>225</v>
      </c>
      <c r="B28" s="22" t="s">
        <v>167</v>
      </c>
      <c r="C28" s="43" t="s">
        <v>168</v>
      </c>
      <c r="D28" s="22" t="s">
        <v>53</v>
      </c>
      <c r="E28" s="22" t="s">
        <v>53</v>
      </c>
      <c r="F28" s="22" t="s">
        <v>53</v>
      </c>
      <c r="G28" s="22" t="s">
        <v>53</v>
      </c>
      <c r="H28" s="22" t="s">
        <v>53</v>
      </c>
      <c r="I28" s="22" t="s">
        <v>53</v>
      </c>
      <c r="J28" s="22" t="s">
        <v>53</v>
      </c>
      <c r="K28" s="22" t="s">
        <v>53</v>
      </c>
      <c r="L28" s="22" t="s">
        <v>53</v>
      </c>
      <c r="M28" s="22" t="s">
        <v>53</v>
      </c>
      <c r="N28" s="22" t="s">
        <v>53</v>
      </c>
      <c r="O28" s="25">
        <f t="shared" ref="O28:O31" si="6">IF(COUNTA(D28:N28)=0,"",(COUNTIF(D28:N28,"✓")+COUNTIF(D28:N28,"⚠")*0.5)/11)</f>
        <v>1</v>
      </c>
      <c r="P28" s="24" t="str">
        <f t="shared" si="5"/>
        <v>CUMPLE</v>
      </c>
      <c r="Q28" s="23" t="s">
        <v>230</v>
      </c>
    </row>
    <row r="29" ht="43.5" customHeight="1">
      <c r="A29" s="22" t="s">
        <v>233</v>
      </c>
      <c r="B29" s="22" t="s">
        <v>175</v>
      </c>
      <c r="C29" s="23" t="s">
        <v>176</v>
      </c>
      <c r="D29" s="22" t="s">
        <v>53</v>
      </c>
      <c r="E29" s="22" t="s">
        <v>53</v>
      </c>
      <c r="F29" s="22" t="s">
        <v>53</v>
      </c>
      <c r="G29" s="22" t="s">
        <v>53</v>
      </c>
      <c r="H29" s="22" t="s">
        <v>53</v>
      </c>
      <c r="I29" s="22" t="s">
        <v>53</v>
      </c>
      <c r="J29" s="22" t="s">
        <v>53</v>
      </c>
      <c r="K29" s="22" t="s">
        <v>53</v>
      </c>
      <c r="L29" s="22" t="s">
        <v>53</v>
      </c>
      <c r="M29" s="22" t="s">
        <v>53</v>
      </c>
      <c r="N29" s="22" t="s">
        <v>53</v>
      </c>
      <c r="O29" s="25">
        <f t="shared" si="6"/>
        <v>1</v>
      </c>
      <c r="P29" s="24" t="str">
        <f t="shared" si="5"/>
        <v>CUMPLE</v>
      </c>
      <c r="Q29" s="23" t="s">
        <v>238</v>
      </c>
    </row>
    <row r="30" ht="15.75" customHeight="1">
      <c r="A30" s="22" t="s">
        <v>239</v>
      </c>
      <c r="B30" s="22" t="s">
        <v>178</v>
      </c>
      <c r="C30" s="23" t="s">
        <v>180</v>
      </c>
      <c r="D30" s="22" t="s">
        <v>53</v>
      </c>
      <c r="E30" s="22" t="s">
        <v>53</v>
      </c>
      <c r="F30" s="22" t="s">
        <v>53</v>
      </c>
      <c r="G30" s="22" t="s">
        <v>53</v>
      </c>
      <c r="H30" s="22" t="s">
        <v>53</v>
      </c>
      <c r="I30" s="22" t="s">
        <v>53</v>
      </c>
      <c r="J30" s="22" t="s">
        <v>53</v>
      </c>
      <c r="K30" s="22" t="s">
        <v>53</v>
      </c>
      <c r="L30" s="22" t="s">
        <v>53</v>
      </c>
      <c r="M30" s="22" t="s">
        <v>53</v>
      </c>
      <c r="N30" s="22" t="s">
        <v>53</v>
      </c>
      <c r="O30" s="25">
        <f t="shared" si="6"/>
        <v>1</v>
      </c>
      <c r="P30" s="24" t="str">
        <f t="shared" si="5"/>
        <v>CUMPLE</v>
      </c>
      <c r="Q30" s="23" t="s">
        <v>244</v>
      </c>
    </row>
    <row r="31" ht="15.75" customHeight="1">
      <c r="A31" s="22" t="s">
        <v>245</v>
      </c>
      <c r="B31" s="22" t="s">
        <v>184</v>
      </c>
      <c r="C31" s="23" t="s">
        <v>185</v>
      </c>
      <c r="D31" s="22" t="s">
        <v>53</v>
      </c>
      <c r="E31" s="22" t="s">
        <v>53</v>
      </c>
      <c r="F31" s="22" t="s">
        <v>53</v>
      </c>
      <c r="G31" s="22" t="s">
        <v>53</v>
      </c>
      <c r="H31" s="22" t="s">
        <v>53</v>
      </c>
      <c r="I31" s="22" t="s">
        <v>53</v>
      </c>
      <c r="J31" s="22" t="s">
        <v>53</v>
      </c>
      <c r="K31" s="22" t="s">
        <v>53</v>
      </c>
      <c r="L31" s="22" t="s">
        <v>53</v>
      </c>
      <c r="M31" s="22" t="s">
        <v>53</v>
      </c>
      <c r="N31" s="22" t="s">
        <v>53</v>
      </c>
      <c r="O31" s="25">
        <f t="shared" si="6"/>
        <v>1</v>
      </c>
      <c r="P31" s="24" t="str">
        <f t="shared" si="5"/>
        <v>CUMPLE</v>
      </c>
      <c r="Q31" s="23" t="s">
        <v>248</v>
      </c>
    </row>
    <row r="32" ht="15.75" customHeight="1">
      <c r="A32" s="16"/>
      <c r="B32" s="16" t="s">
        <v>94</v>
      </c>
      <c r="C32" s="34" t="s">
        <v>250</v>
      </c>
      <c r="D32" s="17"/>
      <c r="E32" s="17"/>
      <c r="F32" s="17"/>
      <c r="G32" s="17"/>
      <c r="H32" s="17"/>
      <c r="I32" s="17"/>
      <c r="J32" s="17"/>
      <c r="K32" s="35"/>
      <c r="L32" s="35"/>
      <c r="M32" s="35"/>
      <c r="N32" s="35"/>
      <c r="O32" s="36" t="str">
        <f>IF(COUNTA(D32:J32)=0,"",(COUNTIF(D32:J32,"✓")+COUNTIF(D32:J32,"⚠")*0.5)/8)</f>
        <v/>
      </c>
      <c r="P32" s="17" t="str">
        <f t="shared" si="5"/>
        <v/>
      </c>
      <c r="Q32" s="37"/>
    </row>
    <row r="33" ht="15.75" customHeight="1">
      <c r="A33" s="22" t="s">
        <v>252</v>
      </c>
      <c r="B33" s="22" t="s">
        <v>190</v>
      </c>
      <c r="C33" s="23" t="s">
        <v>253</v>
      </c>
      <c r="D33" s="22" t="s">
        <v>53</v>
      </c>
      <c r="E33" s="22" t="s">
        <v>53</v>
      </c>
      <c r="F33" s="22" t="s">
        <v>53</v>
      </c>
      <c r="G33" s="22" t="s">
        <v>53</v>
      </c>
      <c r="H33" s="22" t="s">
        <v>53</v>
      </c>
      <c r="I33" s="22" t="s">
        <v>53</v>
      </c>
      <c r="J33" s="22" t="s">
        <v>53</v>
      </c>
      <c r="K33" s="22" t="s">
        <v>53</v>
      </c>
      <c r="L33" s="22" t="s">
        <v>53</v>
      </c>
      <c r="M33" s="22" t="s">
        <v>53</v>
      </c>
      <c r="N33" s="22" t="s">
        <v>53</v>
      </c>
      <c r="O33" s="25">
        <f t="shared" ref="O33:O36" si="7">IF(COUNTA(D33:N33)=0,"",(COUNTIF(D33:N33,"✓")+COUNTIF(D33:N33,"⚠")*0.5)/11)</f>
        <v>1</v>
      </c>
      <c r="P33" s="24" t="str">
        <f t="shared" si="5"/>
        <v>CUMPLE</v>
      </c>
      <c r="Q33" s="27"/>
    </row>
    <row r="34" ht="15.75" customHeight="1">
      <c r="A34" s="22" t="s">
        <v>254</v>
      </c>
      <c r="B34" s="22" t="s">
        <v>197</v>
      </c>
      <c r="C34" s="23" t="s">
        <v>255</v>
      </c>
      <c r="D34" s="22" t="s">
        <v>53</v>
      </c>
      <c r="E34" s="22" t="s">
        <v>53</v>
      </c>
      <c r="F34" s="22" t="s">
        <v>53</v>
      </c>
      <c r="G34" s="22" t="s">
        <v>53</v>
      </c>
      <c r="H34" s="22" t="s">
        <v>53</v>
      </c>
      <c r="I34" s="22" t="s">
        <v>53</v>
      </c>
      <c r="J34" s="22" t="s">
        <v>53</v>
      </c>
      <c r="K34" s="22" t="s">
        <v>53</v>
      </c>
      <c r="L34" s="22" t="s">
        <v>53</v>
      </c>
      <c r="M34" s="22" t="s">
        <v>53</v>
      </c>
      <c r="N34" s="22" t="s">
        <v>53</v>
      </c>
      <c r="O34" s="25">
        <f t="shared" si="7"/>
        <v>1</v>
      </c>
      <c r="P34" s="24" t="str">
        <f t="shared" si="5"/>
        <v>CUMPLE</v>
      </c>
      <c r="Q34" s="27"/>
    </row>
    <row r="35" ht="15.75" customHeight="1">
      <c r="A35" s="22" t="s">
        <v>257</v>
      </c>
      <c r="B35" s="22" t="s">
        <v>203</v>
      </c>
      <c r="C35" s="23" t="s">
        <v>204</v>
      </c>
      <c r="D35" s="22" t="s">
        <v>53</v>
      </c>
      <c r="E35" s="22" t="s">
        <v>53</v>
      </c>
      <c r="F35" s="22" t="s">
        <v>53</v>
      </c>
      <c r="G35" s="22" t="s">
        <v>53</v>
      </c>
      <c r="H35" s="22" t="s">
        <v>53</v>
      </c>
      <c r="I35" s="22" t="s">
        <v>53</v>
      </c>
      <c r="J35" s="22" t="s">
        <v>53</v>
      </c>
      <c r="K35" s="22" t="s">
        <v>53</v>
      </c>
      <c r="L35" s="22" t="s">
        <v>53</v>
      </c>
      <c r="M35" s="22" t="s">
        <v>53</v>
      </c>
      <c r="N35" s="22" t="s">
        <v>53</v>
      </c>
      <c r="O35" s="25">
        <f t="shared" si="7"/>
        <v>1</v>
      </c>
      <c r="P35" s="24" t="str">
        <f t="shared" si="5"/>
        <v>CUMPLE</v>
      </c>
      <c r="Q35" s="27"/>
    </row>
    <row r="36" ht="15.75" customHeight="1">
      <c r="A36" s="22" t="s">
        <v>259</v>
      </c>
      <c r="B36" s="22" t="s">
        <v>207</v>
      </c>
      <c r="C36" s="23" t="s">
        <v>209</v>
      </c>
      <c r="D36" s="22" t="s">
        <v>53</v>
      </c>
      <c r="E36" s="22" t="s">
        <v>53</v>
      </c>
      <c r="F36" s="22" t="s">
        <v>53</v>
      </c>
      <c r="G36" s="22" t="s">
        <v>53</v>
      </c>
      <c r="H36" s="22" t="s">
        <v>53</v>
      </c>
      <c r="I36" s="22" t="s">
        <v>53</v>
      </c>
      <c r="J36" s="22" t="s">
        <v>53</v>
      </c>
      <c r="K36" s="22" t="s">
        <v>53</v>
      </c>
      <c r="L36" s="22" t="s">
        <v>53</v>
      </c>
      <c r="M36" s="22" t="s">
        <v>53</v>
      </c>
      <c r="N36" s="22" t="s">
        <v>53</v>
      </c>
      <c r="O36" s="25">
        <f t="shared" si="7"/>
        <v>1</v>
      </c>
      <c r="P36" s="24" t="str">
        <f t="shared" si="5"/>
        <v>CUMPLE</v>
      </c>
      <c r="Q36" s="27"/>
    </row>
    <row r="37" ht="15.75" customHeight="1">
      <c r="A37" s="17"/>
      <c r="B37" s="16" t="s">
        <v>102</v>
      </c>
      <c r="C37" s="34" t="s">
        <v>261</v>
      </c>
      <c r="D37" s="17"/>
      <c r="E37" s="17"/>
      <c r="F37" s="17"/>
      <c r="G37" s="17"/>
      <c r="H37" s="17"/>
      <c r="I37" s="17"/>
      <c r="J37" s="17"/>
      <c r="K37" s="35"/>
      <c r="L37" s="35"/>
      <c r="M37" s="35"/>
      <c r="N37" s="35"/>
      <c r="O37" s="36" t="str">
        <f>IF(COUNTA(D37:J37)=0,"",(COUNTIF(D37:J37,"✓")+COUNTIF(D37:J37,"⚠")*0.5)/8)</f>
        <v/>
      </c>
      <c r="P37" s="17" t="str">
        <f t="shared" si="5"/>
        <v/>
      </c>
      <c r="Q37" s="37"/>
    </row>
    <row r="38" ht="15.75" customHeight="1">
      <c r="A38" s="22" t="s">
        <v>263</v>
      </c>
      <c r="B38" s="22" t="s">
        <v>213</v>
      </c>
      <c r="C38" s="23" t="s">
        <v>264</v>
      </c>
      <c r="D38" s="22" t="s">
        <v>53</v>
      </c>
      <c r="E38" s="22" t="s">
        <v>53</v>
      </c>
      <c r="F38" s="22" t="s">
        <v>53</v>
      </c>
      <c r="G38" s="22" t="s">
        <v>53</v>
      </c>
      <c r="H38" s="22" t="s">
        <v>53</v>
      </c>
      <c r="I38" s="22" t="s">
        <v>53</v>
      </c>
      <c r="J38" s="22" t="s">
        <v>53</v>
      </c>
      <c r="K38" s="22" t="s">
        <v>53</v>
      </c>
      <c r="L38" s="22" t="s">
        <v>53</v>
      </c>
      <c r="M38" s="22" t="s">
        <v>53</v>
      </c>
      <c r="N38" s="22" t="s">
        <v>53</v>
      </c>
      <c r="O38" s="25">
        <f t="shared" ref="O38:O39" si="8">IF(COUNTA(D38:N38)=0,"",(COUNTIF(D38:N38,"✓")+COUNTIF(D38:N38,"⚠")*0.5)/11)</f>
        <v>1</v>
      </c>
      <c r="P38" s="24" t="str">
        <f t="shared" si="5"/>
        <v>CUMPLE</v>
      </c>
      <c r="Q38" s="27"/>
    </row>
    <row r="39" ht="15.75" customHeight="1">
      <c r="A39" s="22" t="s">
        <v>266</v>
      </c>
      <c r="B39" s="22" t="s">
        <v>219</v>
      </c>
      <c r="C39" s="23" t="s">
        <v>267</v>
      </c>
      <c r="D39" s="22" t="s">
        <v>53</v>
      </c>
      <c r="E39" s="22" t="s">
        <v>53</v>
      </c>
      <c r="F39" s="22" t="s">
        <v>53</v>
      </c>
      <c r="G39" s="22" t="s">
        <v>53</v>
      </c>
      <c r="H39" s="22" t="s">
        <v>53</v>
      </c>
      <c r="I39" s="22" t="s">
        <v>53</v>
      </c>
      <c r="J39" s="22" t="s">
        <v>53</v>
      </c>
      <c r="K39" s="22" t="s">
        <v>53</v>
      </c>
      <c r="L39" s="22" t="s">
        <v>53</v>
      </c>
      <c r="M39" s="22" t="s">
        <v>53</v>
      </c>
      <c r="N39" s="22" t="s">
        <v>53</v>
      </c>
      <c r="O39" s="25">
        <f t="shared" si="8"/>
        <v>1</v>
      </c>
      <c r="P39" s="24" t="str">
        <f t="shared" si="5"/>
        <v>CUMPLE</v>
      </c>
      <c r="Q39" s="27"/>
    </row>
    <row r="40" ht="15.75" customHeight="1">
      <c r="A40" s="16"/>
      <c r="B40" s="16" t="s">
        <v>109</v>
      </c>
      <c r="C40" s="34" t="s">
        <v>268</v>
      </c>
      <c r="D40" s="17"/>
      <c r="E40" s="17"/>
      <c r="F40" s="17"/>
      <c r="G40" s="17"/>
      <c r="H40" s="17"/>
      <c r="I40" s="17"/>
      <c r="J40" s="17"/>
      <c r="K40" s="35"/>
      <c r="L40" s="35"/>
      <c r="M40" s="35"/>
      <c r="N40" s="35"/>
      <c r="O40" s="36" t="str">
        <f>IF(COUNTA(D40:J40)=0,"",(COUNTIF(D40:J40,"✓")+COUNTIF(D40:J40,"⚠")*0.5)/8)</f>
        <v/>
      </c>
      <c r="P40" s="17" t="str">
        <f t="shared" si="5"/>
        <v/>
      </c>
      <c r="Q40" s="37"/>
    </row>
    <row r="41" ht="15.75" customHeight="1">
      <c r="A41" s="22" t="s">
        <v>269</v>
      </c>
      <c r="B41" s="22" t="s">
        <v>270</v>
      </c>
      <c r="C41" s="23" t="s">
        <v>226</v>
      </c>
      <c r="D41" s="22" t="s">
        <v>53</v>
      </c>
      <c r="E41" s="22" t="s">
        <v>53</v>
      </c>
      <c r="F41" s="22" t="s">
        <v>53</v>
      </c>
      <c r="G41" s="22" t="s">
        <v>53</v>
      </c>
      <c r="H41" s="22" t="s">
        <v>53</v>
      </c>
      <c r="I41" s="22" t="s">
        <v>53</v>
      </c>
      <c r="J41" s="22" t="s">
        <v>53</v>
      </c>
      <c r="K41" s="22" t="s">
        <v>53</v>
      </c>
      <c r="L41" s="22" t="s">
        <v>53</v>
      </c>
      <c r="M41" s="22" t="s">
        <v>53</v>
      </c>
      <c r="N41" s="22" t="s">
        <v>53</v>
      </c>
      <c r="O41" s="25">
        <f t="shared" ref="O41:O45" si="9">IF(COUNTA(D41:N41)=0,"",(COUNTIF(D41:N41,"✓")+COUNTIF(D41:N41,"⚠")*0.5)/11)</f>
        <v>1</v>
      </c>
      <c r="P41" s="24" t="str">
        <f t="shared" si="5"/>
        <v>CUMPLE</v>
      </c>
      <c r="Q41" s="27"/>
    </row>
    <row r="42" ht="15.75" customHeight="1">
      <c r="A42" s="22" t="s">
        <v>271</v>
      </c>
      <c r="B42" s="22" t="s">
        <v>272</v>
      </c>
      <c r="C42" s="23" t="s">
        <v>273</v>
      </c>
      <c r="D42" s="22" t="s">
        <v>53</v>
      </c>
      <c r="E42" s="22" t="s">
        <v>53</v>
      </c>
      <c r="F42" s="22" t="s">
        <v>53</v>
      </c>
      <c r="G42" s="22" t="s">
        <v>53</v>
      </c>
      <c r="H42" s="22" t="s">
        <v>53</v>
      </c>
      <c r="I42" s="22" t="s">
        <v>53</v>
      </c>
      <c r="J42" s="22" t="s">
        <v>53</v>
      </c>
      <c r="K42" s="22" t="s">
        <v>53</v>
      </c>
      <c r="L42" s="22" t="s">
        <v>53</v>
      </c>
      <c r="M42" s="22" t="s">
        <v>53</v>
      </c>
      <c r="N42" s="22" t="s">
        <v>53</v>
      </c>
      <c r="O42" s="25">
        <f t="shared" si="9"/>
        <v>1</v>
      </c>
      <c r="P42" s="24" t="str">
        <f t="shared" si="5"/>
        <v>CUMPLE</v>
      </c>
      <c r="Q42" s="23"/>
    </row>
    <row r="43" ht="15.75" customHeight="1">
      <c r="A43" s="22" t="s">
        <v>274</v>
      </c>
      <c r="B43" s="22" t="s">
        <v>232</v>
      </c>
      <c r="C43" s="23" t="s">
        <v>234</v>
      </c>
      <c r="D43" s="22" t="s">
        <v>53</v>
      </c>
      <c r="E43" s="22" t="s">
        <v>53</v>
      </c>
      <c r="F43" s="22" t="s">
        <v>53</v>
      </c>
      <c r="G43" s="22" t="s">
        <v>53</v>
      </c>
      <c r="H43" s="22" t="s">
        <v>53</v>
      </c>
      <c r="I43" s="22" t="s">
        <v>53</v>
      </c>
      <c r="J43" s="22" t="s">
        <v>53</v>
      </c>
      <c r="K43" s="22" t="s">
        <v>53</v>
      </c>
      <c r="L43" s="22" t="s">
        <v>53</v>
      </c>
      <c r="M43" s="22" t="s">
        <v>53</v>
      </c>
      <c r="N43" s="22" t="s">
        <v>53</v>
      </c>
      <c r="O43" s="25">
        <f t="shared" si="9"/>
        <v>1</v>
      </c>
      <c r="P43" s="24" t="str">
        <f t="shared" si="5"/>
        <v>CUMPLE</v>
      </c>
      <c r="Q43" s="27"/>
    </row>
    <row r="44" ht="15.75" customHeight="1">
      <c r="A44" s="22" t="s">
        <v>275</v>
      </c>
      <c r="B44" s="22" t="s">
        <v>236</v>
      </c>
      <c r="C44" s="23" t="s">
        <v>237</v>
      </c>
      <c r="D44" s="22" t="s">
        <v>53</v>
      </c>
      <c r="E44" s="22" t="s">
        <v>53</v>
      </c>
      <c r="F44" s="22" t="s">
        <v>53</v>
      </c>
      <c r="G44" s="22" t="s">
        <v>53</v>
      </c>
      <c r="H44" s="22" t="s">
        <v>53</v>
      </c>
      <c r="I44" s="22" t="s">
        <v>53</v>
      </c>
      <c r="J44" s="22" t="s">
        <v>53</v>
      </c>
      <c r="K44" s="22" t="s">
        <v>53</v>
      </c>
      <c r="L44" s="22" t="s">
        <v>53</v>
      </c>
      <c r="M44" s="22" t="s">
        <v>53</v>
      </c>
      <c r="N44" s="22" t="s">
        <v>53</v>
      </c>
      <c r="O44" s="25">
        <f t="shared" si="9"/>
        <v>1</v>
      </c>
      <c r="P44" s="24" t="str">
        <f t="shared" si="5"/>
        <v>CUMPLE</v>
      </c>
      <c r="Q44" s="23"/>
    </row>
    <row r="45" ht="15.75" customHeight="1">
      <c r="A45" s="22" t="s">
        <v>276</v>
      </c>
      <c r="B45" s="22" t="s">
        <v>241</v>
      </c>
      <c r="C45" s="23" t="s">
        <v>243</v>
      </c>
      <c r="D45" s="22" t="s">
        <v>53</v>
      </c>
      <c r="E45" s="22" t="s">
        <v>53</v>
      </c>
      <c r="F45" s="22" t="s">
        <v>53</v>
      </c>
      <c r="G45" s="22" t="s">
        <v>53</v>
      </c>
      <c r="H45" s="22" t="s">
        <v>53</v>
      </c>
      <c r="I45" s="22" t="s">
        <v>53</v>
      </c>
      <c r="J45" s="22" t="s">
        <v>53</v>
      </c>
      <c r="K45" s="22" t="s">
        <v>53</v>
      </c>
      <c r="L45" s="22" t="s">
        <v>53</v>
      </c>
      <c r="M45" s="22" t="s">
        <v>53</v>
      </c>
      <c r="N45" s="22" t="s">
        <v>53</v>
      </c>
      <c r="O45" s="25">
        <f t="shared" si="9"/>
        <v>1</v>
      </c>
      <c r="P45" s="24" t="str">
        <f t="shared" si="5"/>
        <v>CUMPLE</v>
      </c>
      <c r="Q45" s="27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B1:Q1"/>
    <mergeCell ref="C3:Q3"/>
  </mergeCells>
  <conditionalFormatting sqref="D4:D17 E4:N45 D19:D45">
    <cfRule type="cellIs" dxfId="0" priority="1" operator="equal">
      <formula>"✓"</formula>
    </cfRule>
  </conditionalFormatting>
  <conditionalFormatting sqref="D4:D17 E4:N45 D19:D45">
    <cfRule type="cellIs" dxfId="1" priority="2" operator="equal">
      <formula>"✗"</formula>
    </cfRule>
  </conditionalFormatting>
  <conditionalFormatting sqref="D4:D17 E4:N45 D19:D45">
    <cfRule type="cellIs" dxfId="2" priority="3" operator="equal">
      <formula>"⚠"</formula>
    </cfRule>
  </conditionalFormatting>
  <conditionalFormatting sqref="P4:P45">
    <cfRule type="cellIs" dxfId="0" priority="4" operator="equal">
      <formula>"CUMPLE"</formula>
    </cfRule>
  </conditionalFormatting>
  <conditionalFormatting sqref="P4:P45">
    <cfRule type="cellIs" dxfId="1" priority="5" operator="equal">
      <formula>"NO CUMPLE"</formula>
    </cfRule>
  </conditionalFormatting>
  <conditionalFormatting sqref="P4:P45">
    <cfRule type="cellIs" dxfId="2" priority="6" operator="equal">
      <formula>"CUMPLE PARCIAL"</formula>
    </cfRule>
  </conditionalFormatting>
  <dataValidations>
    <dataValidation type="list" allowBlank="1" sqref="D4:N12 D14:N17 D19:N26 D28:N31 D33:N36 D38:N39 D41:N45">
      <formula1>"✓,✗,⚠"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35.43"/>
    <col customWidth="1" min="4" max="10" width="13.0"/>
    <col customWidth="1" min="11" max="11" width="14.0"/>
    <col customWidth="1" min="12" max="12" width="16.0"/>
    <col customWidth="1" min="13" max="13" width="38.0"/>
    <col customWidth="1" min="14" max="25" width="8.71"/>
  </cols>
  <sheetData>
    <row r="1" ht="30.0" customHeight="1">
      <c r="A1" s="5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10"/>
    </row>
    <row r="2" ht="54.75" customHeight="1">
      <c r="A2" s="12" t="s">
        <v>11</v>
      </c>
      <c r="B2" s="12" t="s">
        <v>19</v>
      </c>
      <c r="C2" s="12" t="s">
        <v>22</v>
      </c>
      <c r="D2" s="12" t="s">
        <v>25</v>
      </c>
      <c r="E2" s="12" t="s">
        <v>27</v>
      </c>
      <c r="F2" s="12" t="s">
        <v>30</v>
      </c>
      <c r="G2" s="12" t="s">
        <v>33</v>
      </c>
      <c r="H2" s="12" t="s">
        <v>36</v>
      </c>
      <c r="I2" s="12" t="s">
        <v>32</v>
      </c>
      <c r="J2" s="15" t="s">
        <v>42</v>
      </c>
      <c r="K2" s="12" t="s">
        <v>40</v>
      </c>
      <c r="L2" s="12" t="s">
        <v>43</v>
      </c>
      <c r="M2" s="12" t="s">
        <v>44</v>
      </c>
    </row>
    <row r="3" ht="30.0" customHeight="1">
      <c r="A3" s="17"/>
      <c r="B3" s="18" t="s">
        <v>47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20"/>
    </row>
    <row r="4" ht="19.5" customHeight="1">
      <c r="A4" s="22" t="s">
        <v>51</v>
      </c>
      <c r="B4" s="22" t="s">
        <v>52</v>
      </c>
      <c r="C4" s="23" t="s">
        <v>50</v>
      </c>
      <c r="D4" s="22" t="s">
        <v>53</v>
      </c>
      <c r="E4" s="22" t="s">
        <v>53</v>
      </c>
      <c r="F4" s="22" t="s">
        <v>53</v>
      </c>
      <c r="G4" s="22" t="s">
        <v>53</v>
      </c>
      <c r="H4" s="22" t="s">
        <v>53</v>
      </c>
      <c r="I4" s="22" t="s">
        <v>53</v>
      </c>
      <c r="J4" s="22" t="s">
        <v>53</v>
      </c>
      <c r="K4" s="25">
        <f t="shared" ref="K4:K12" si="1">IF(COUNTA(D4:J4)=0,"",(COUNTIF(D4:J4,"✓")+COUNTIF(D4:J4,"⚠")*0.5)/7)</f>
        <v>1</v>
      </c>
      <c r="L4" s="24" t="str">
        <f t="shared" ref="L4:L12" si="2">IF(K4="","",IF(K4&gt;=0.9,"CUMPLE",IF(K4&gt;=0.6,"CUMPLE PARCIAL","NO CUMPLE")))</f>
        <v>CUMPLE</v>
      </c>
      <c r="M4" s="27"/>
    </row>
    <row r="5" ht="19.5" customHeight="1">
      <c r="A5" s="22" t="s">
        <v>67</v>
      </c>
      <c r="B5" s="22" t="s">
        <v>68</v>
      </c>
      <c r="C5" s="23" t="s">
        <v>64</v>
      </c>
      <c r="D5" s="22" t="s">
        <v>53</v>
      </c>
      <c r="E5" s="22" t="s">
        <v>53</v>
      </c>
      <c r="F5" s="22" t="s">
        <v>53</v>
      </c>
      <c r="G5" s="22" t="s">
        <v>53</v>
      </c>
      <c r="H5" s="22" t="s">
        <v>53</v>
      </c>
      <c r="I5" s="22" t="s">
        <v>53</v>
      </c>
      <c r="J5" s="22" t="s">
        <v>53</v>
      </c>
      <c r="K5" s="25">
        <f t="shared" si="1"/>
        <v>1</v>
      </c>
      <c r="L5" s="24" t="str">
        <f t="shared" si="2"/>
        <v>CUMPLE</v>
      </c>
      <c r="M5" s="27"/>
    </row>
    <row r="6" ht="38.25" customHeight="1">
      <c r="A6" s="22" t="s">
        <v>72</v>
      </c>
      <c r="B6" s="22" t="s">
        <v>73</v>
      </c>
      <c r="C6" s="23" t="s">
        <v>71</v>
      </c>
      <c r="D6" s="22" t="s">
        <v>53</v>
      </c>
      <c r="E6" s="22" t="s">
        <v>53</v>
      </c>
      <c r="F6" s="22" t="s">
        <v>53</v>
      </c>
      <c r="G6" s="22" t="s">
        <v>53</v>
      </c>
      <c r="H6" s="22" t="s">
        <v>53</v>
      </c>
      <c r="I6" s="22" t="s">
        <v>53</v>
      </c>
      <c r="J6" s="22" t="s">
        <v>53</v>
      </c>
      <c r="K6" s="25">
        <f t="shared" si="1"/>
        <v>1</v>
      </c>
      <c r="L6" s="24" t="str">
        <f t="shared" si="2"/>
        <v>CUMPLE</v>
      </c>
      <c r="M6" s="23" t="s">
        <v>77</v>
      </c>
    </row>
    <row r="7" ht="19.5" customHeight="1">
      <c r="A7" s="22" t="s">
        <v>79</v>
      </c>
      <c r="B7" s="22" t="s">
        <v>81</v>
      </c>
      <c r="C7" s="23" t="s">
        <v>80</v>
      </c>
      <c r="D7" s="22" t="s">
        <v>53</v>
      </c>
      <c r="E7" s="22" t="s">
        <v>53</v>
      </c>
      <c r="F7" s="22" t="s">
        <v>53</v>
      </c>
      <c r="G7" s="22" t="s">
        <v>53</v>
      </c>
      <c r="H7" s="22" t="s">
        <v>53</v>
      </c>
      <c r="I7" s="22" t="s">
        <v>53</v>
      </c>
      <c r="J7" s="22" t="s">
        <v>54</v>
      </c>
      <c r="K7" s="25">
        <f t="shared" si="1"/>
        <v>0.9285714286</v>
      </c>
      <c r="L7" s="24" t="str">
        <f t="shared" si="2"/>
        <v>CUMPLE</v>
      </c>
      <c r="M7" s="23" t="s">
        <v>85</v>
      </c>
    </row>
    <row r="8" ht="19.5" customHeight="1">
      <c r="A8" s="22" t="s">
        <v>87</v>
      </c>
      <c r="B8" s="22" t="s">
        <v>89</v>
      </c>
      <c r="C8" s="23" t="s">
        <v>88</v>
      </c>
      <c r="D8" s="22" t="s">
        <v>53</v>
      </c>
      <c r="E8" s="22" t="s">
        <v>54</v>
      </c>
      <c r="F8" s="22" t="s">
        <v>53</v>
      </c>
      <c r="G8" s="22" t="s">
        <v>53</v>
      </c>
      <c r="H8" s="22" t="s">
        <v>53</v>
      </c>
      <c r="I8" s="22" t="s">
        <v>53</v>
      </c>
      <c r="J8" s="22" t="s">
        <v>53</v>
      </c>
      <c r="K8" s="25">
        <f t="shared" si="1"/>
        <v>0.9285714286</v>
      </c>
      <c r="L8" s="24" t="str">
        <f t="shared" si="2"/>
        <v>CUMPLE</v>
      </c>
      <c r="M8" s="23" t="s">
        <v>91</v>
      </c>
    </row>
    <row r="9" ht="34.5" customHeight="1">
      <c r="A9" s="22" t="s">
        <v>92</v>
      </c>
      <c r="B9" s="22" t="s">
        <v>95</v>
      </c>
      <c r="C9" s="23" t="s">
        <v>96</v>
      </c>
      <c r="D9" s="22" t="s">
        <v>53</v>
      </c>
      <c r="E9" s="22" t="s">
        <v>53</v>
      </c>
      <c r="F9" s="22" t="s">
        <v>53</v>
      </c>
      <c r="G9" s="22" t="s">
        <v>53</v>
      </c>
      <c r="H9" s="22" t="s">
        <v>53</v>
      </c>
      <c r="I9" s="22" t="s">
        <v>53</v>
      </c>
      <c r="J9" s="22" t="s">
        <v>53</v>
      </c>
      <c r="K9" s="25">
        <f t="shared" si="1"/>
        <v>1</v>
      </c>
      <c r="L9" s="24" t="str">
        <f t="shared" si="2"/>
        <v>CUMPLE</v>
      </c>
      <c r="M9" s="27"/>
    </row>
    <row r="10" ht="19.5" customHeight="1">
      <c r="A10" s="22" t="s">
        <v>98</v>
      </c>
      <c r="B10" s="22" t="s">
        <v>100</v>
      </c>
      <c r="C10" s="30" t="s">
        <v>99</v>
      </c>
      <c r="D10" s="22" t="s">
        <v>53</v>
      </c>
      <c r="E10" s="22" t="s">
        <v>53</v>
      </c>
      <c r="F10" s="22" t="s">
        <v>53</v>
      </c>
      <c r="G10" s="22" t="s">
        <v>53</v>
      </c>
      <c r="H10" s="22" t="s">
        <v>53</v>
      </c>
      <c r="I10" s="22" t="s">
        <v>53</v>
      </c>
      <c r="J10" s="22" t="s">
        <v>53</v>
      </c>
      <c r="K10" s="25">
        <f t="shared" si="1"/>
        <v>1</v>
      </c>
      <c r="L10" s="24" t="str">
        <f t="shared" si="2"/>
        <v>CUMPLE</v>
      </c>
      <c r="M10" s="31" t="s">
        <v>103</v>
      </c>
    </row>
    <row r="11" ht="19.5" customHeight="1">
      <c r="A11" s="22" t="s">
        <v>105</v>
      </c>
      <c r="B11" s="22" t="s">
        <v>107</v>
      </c>
      <c r="C11" s="23" t="s">
        <v>108</v>
      </c>
      <c r="D11" s="22" t="s">
        <v>53</v>
      </c>
      <c r="E11" s="22" t="s">
        <v>53</v>
      </c>
      <c r="F11" s="22" t="s">
        <v>53</v>
      </c>
      <c r="G11" s="22" t="s">
        <v>53</v>
      </c>
      <c r="H11" s="22" t="s">
        <v>53</v>
      </c>
      <c r="I11" s="22" t="s">
        <v>53</v>
      </c>
      <c r="J11" s="22" t="s">
        <v>53</v>
      </c>
      <c r="K11" s="25">
        <f t="shared" si="1"/>
        <v>1</v>
      </c>
      <c r="L11" s="32" t="str">
        <f t="shared" si="2"/>
        <v>CUMPLE</v>
      </c>
      <c r="M11" s="27"/>
    </row>
    <row r="12" ht="19.5" customHeight="1">
      <c r="A12" s="22" t="s">
        <v>110</v>
      </c>
      <c r="B12" s="22" t="s">
        <v>112</v>
      </c>
      <c r="C12" s="23" t="s">
        <v>114</v>
      </c>
      <c r="D12" s="22" t="s">
        <v>53</v>
      </c>
      <c r="E12" s="22" t="s">
        <v>53</v>
      </c>
      <c r="F12" s="22" t="s">
        <v>53</v>
      </c>
      <c r="G12" s="22" t="s">
        <v>53</v>
      </c>
      <c r="H12" s="22" t="s">
        <v>53</v>
      </c>
      <c r="I12" s="22" t="s">
        <v>53</v>
      </c>
      <c r="J12" s="22" t="s">
        <v>53</v>
      </c>
      <c r="K12" s="25">
        <f t="shared" si="1"/>
        <v>1</v>
      </c>
      <c r="L12" s="24" t="str">
        <f t="shared" si="2"/>
        <v>CUMPLE</v>
      </c>
      <c r="M12" s="27"/>
    </row>
    <row r="13" ht="19.5" customHeight="1">
      <c r="A13" s="17"/>
      <c r="B13" s="33" t="s">
        <v>66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20"/>
    </row>
    <row r="14" ht="19.5" customHeight="1">
      <c r="A14" s="22" t="s">
        <v>119</v>
      </c>
      <c r="B14" s="22" t="s">
        <v>120</v>
      </c>
      <c r="C14" s="23" t="s">
        <v>50</v>
      </c>
      <c r="D14" s="22" t="s">
        <v>53</v>
      </c>
      <c r="E14" s="22" t="s">
        <v>53</v>
      </c>
      <c r="F14" s="22" t="s">
        <v>53</v>
      </c>
      <c r="G14" s="22" t="s">
        <v>53</v>
      </c>
      <c r="H14" s="22" t="s">
        <v>53</v>
      </c>
      <c r="I14" s="22" t="s">
        <v>53</v>
      </c>
      <c r="J14" s="22" t="s">
        <v>53</v>
      </c>
      <c r="K14" s="25">
        <f t="shared" ref="K14:K17" si="3">IF(COUNTA(D14:J14)=0,"",(COUNTIF(D14:J14,"✓")+COUNTIF(D14:J14,"⚠")*0.5)/7)</f>
        <v>1</v>
      </c>
      <c r="L14" s="24" t="str">
        <f t="shared" ref="L14:L17" si="4">IF(K14="","",IF(K14&gt;=0.9,"CUMPLE",IF(K14&gt;=0.6,"CUMPLE PARCIAL","NO CUMPLE")))</f>
        <v>CUMPLE</v>
      </c>
      <c r="M14" s="27"/>
    </row>
    <row r="15" ht="19.5" customHeight="1">
      <c r="A15" s="22" t="s">
        <v>123</v>
      </c>
      <c r="B15" s="22" t="s">
        <v>124</v>
      </c>
      <c r="C15" s="23" t="s">
        <v>125</v>
      </c>
      <c r="D15" s="22" t="s">
        <v>53</v>
      </c>
      <c r="E15" s="22" t="s">
        <v>53</v>
      </c>
      <c r="F15" s="22" t="s">
        <v>53</v>
      </c>
      <c r="G15" s="22" t="s">
        <v>53</v>
      </c>
      <c r="H15" s="22" t="s">
        <v>53</v>
      </c>
      <c r="I15" s="22" t="s">
        <v>53</v>
      </c>
      <c r="J15" s="22" t="s">
        <v>53</v>
      </c>
      <c r="K15" s="25">
        <f t="shared" si="3"/>
        <v>1</v>
      </c>
      <c r="L15" s="24" t="str">
        <f t="shared" si="4"/>
        <v>CUMPLE</v>
      </c>
      <c r="M15" s="27"/>
    </row>
    <row r="16" ht="19.5" customHeight="1">
      <c r="A16" s="22" t="s">
        <v>126</v>
      </c>
      <c r="B16" s="22" t="s">
        <v>127</v>
      </c>
      <c r="C16" s="23" t="s">
        <v>128</v>
      </c>
      <c r="D16" s="22" t="s">
        <v>53</v>
      </c>
      <c r="E16" s="22" t="s">
        <v>53</v>
      </c>
      <c r="F16" s="22" t="s">
        <v>53</v>
      </c>
      <c r="G16" s="22" t="s">
        <v>53</v>
      </c>
      <c r="H16" s="22" t="s">
        <v>53</v>
      </c>
      <c r="I16" s="22" t="s">
        <v>53</v>
      </c>
      <c r="J16" s="22" t="s">
        <v>53</v>
      </c>
      <c r="K16" s="25">
        <f t="shared" si="3"/>
        <v>1</v>
      </c>
      <c r="L16" s="24" t="str">
        <f t="shared" si="4"/>
        <v>CUMPLE</v>
      </c>
      <c r="M16" s="27"/>
    </row>
    <row r="17" ht="19.5" customHeight="1">
      <c r="A17" s="22" t="s">
        <v>132</v>
      </c>
      <c r="B17" s="22" t="s">
        <v>133</v>
      </c>
      <c r="C17" s="23" t="s">
        <v>134</v>
      </c>
      <c r="D17" s="22" t="s">
        <v>53</v>
      </c>
      <c r="E17" s="22" t="s">
        <v>53</v>
      </c>
      <c r="F17" s="22" t="s">
        <v>53</v>
      </c>
      <c r="G17" s="22" t="s">
        <v>53</v>
      </c>
      <c r="H17" s="22" t="s">
        <v>53</v>
      </c>
      <c r="I17" s="22" t="s">
        <v>53</v>
      </c>
      <c r="J17" s="22" t="s">
        <v>53</v>
      </c>
      <c r="K17" s="25">
        <f t="shared" si="3"/>
        <v>1</v>
      </c>
      <c r="L17" s="24" t="str">
        <f t="shared" si="4"/>
        <v>CUMPLE</v>
      </c>
      <c r="M17" s="27"/>
    </row>
    <row r="18" ht="19.5" customHeight="1">
      <c r="A18" s="38"/>
      <c r="B18" s="33" t="s">
        <v>74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</row>
    <row r="19" ht="19.5" customHeight="1">
      <c r="A19" s="22" t="s">
        <v>136</v>
      </c>
      <c r="B19" s="27"/>
      <c r="C19" s="23" t="s">
        <v>137</v>
      </c>
      <c r="D19" s="22" t="s">
        <v>53</v>
      </c>
      <c r="E19" s="22" t="s">
        <v>53</v>
      </c>
      <c r="F19" s="22" t="s">
        <v>53</v>
      </c>
      <c r="G19" s="22" t="s">
        <v>53</v>
      </c>
      <c r="H19" s="22" t="s">
        <v>53</v>
      </c>
      <c r="I19" s="22" t="s">
        <v>53</v>
      </c>
      <c r="J19" s="22" t="s">
        <v>53</v>
      </c>
      <c r="K19" s="25">
        <f t="shared" ref="K19:K26" si="5">IF(COUNTA(D19:J19)=0,"",(COUNTIF(D19:J19,"✓")+COUNTIF(D19:J19,"⚠")*0.5)/7)</f>
        <v>1</v>
      </c>
      <c r="L19" s="24" t="str">
        <f t="shared" ref="L19:L26" si="6">IF(K19="","",IF(K19&gt;=0.9,"CUMPLE",IF(K19&gt;=0.6,"CUMPLE PARCIAL","NO CUMPLE")))</f>
        <v>CUMPLE</v>
      </c>
      <c r="M19" s="27"/>
    </row>
    <row r="20" ht="19.5" customHeight="1">
      <c r="A20" s="22" t="s">
        <v>141</v>
      </c>
      <c r="B20" s="27"/>
      <c r="C20" s="23" t="s">
        <v>142</v>
      </c>
      <c r="D20" s="22" t="s">
        <v>53</v>
      </c>
      <c r="E20" s="22" t="s">
        <v>53</v>
      </c>
      <c r="F20" s="22" t="s">
        <v>53</v>
      </c>
      <c r="G20" s="22" t="s">
        <v>53</v>
      </c>
      <c r="H20" s="22" t="s">
        <v>53</v>
      </c>
      <c r="I20" s="22" t="s">
        <v>53</v>
      </c>
      <c r="J20" s="22" t="s">
        <v>53</v>
      </c>
      <c r="K20" s="25">
        <f t="shared" si="5"/>
        <v>1</v>
      </c>
      <c r="L20" s="32" t="str">
        <f t="shared" si="6"/>
        <v>CUMPLE</v>
      </c>
      <c r="M20" s="27"/>
    </row>
    <row r="21" ht="19.5" customHeight="1">
      <c r="A21" s="22" t="s">
        <v>146</v>
      </c>
      <c r="B21" s="27"/>
      <c r="C21" s="23" t="s">
        <v>147</v>
      </c>
      <c r="D21" s="22" t="s">
        <v>53</v>
      </c>
      <c r="E21" s="22" t="s">
        <v>53</v>
      </c>
      <c r="F21" s="22" t="s">
        <v>53</v>
      </c>
      <c r="G21" s="22" t="s">
        <v>53</v>
      </c>
      <c r="H21" s="22" t="s">
        <v>53</v>
      </c>
      <c r="I21" s="22" t="s">
        <v>53</v>
      </c>
      <c r="J21" s="22" t="s">
        <v>53</v>
      </c>
      <c r="K21" s="25">
        <f t="shared" si="5"/>
        <v>1</v>
      </c>
      <c r="L21" s="24" t="str">
        <f t="shared" si="6"/>
        <v>CUMPLE</v>
      </c>
      <c r="M21" s="27"/>
    </row>
    <row r="22" ht="19.5" customHeight="1">
      <c r="A22" s="22" t="s">
        <v>149</v>
      </c>
      <c r="B22" s="27"/>
      <c r="C22" s="23" t="s">
        <v>150</v>
      </c>
      <c r="D22" s="22" t="s">
        <v>53</v>
      </c>
      <c r="E22" s="22" t="s">
        <v>53</v>
      </c>
      <c r="F22" s="22" t="s">
        <v>53</v>
      </c>
      <c r="G22" s="22" t="s">
        <v>53</v>
      </c>
      <c r="H22" s="22" t="s">
        <v>53</v>
      </c>
      <c r="I22" s="22" t="s">
        <v>53</v>
      </c>
      <c r="J22" s="22" t="s">
        <v>53</v>
      </c>
      <c r="K22" s="25">
        <f t="shared" si="5"/>
        <v>1</v>
      </c>
      <c r="L22" s="24" t="str">
        <f t="shared" si="6"/>
        <v>CUMPLE</v>
      </c>
      <c r="M22" s="27"/>
    </row>
    <row r="23" ht="19.5" customHeight="1">
      <c r="A23" s="22" t="s">
        <v>152</v>
      </c>
      <c r="B23" s="27"/>
      <c r="C23" s="23" t="s">
        <v>153</v>
      </c>
      <c r="D23" s="22" t="s">
        <v>53</v>
      </c>
      <c r="E23" s="22" t="s">
        <v>53</v>
      </c>
      <c r="F23" s="22" t="s">
        <v>53</v>
      </c>
      <c r="G23" s="22" t="s">
        <v>53</v>
      </c>
      <c r="H23" s="22" t="s">
        <v>53</v>
      </c>
      <c r="I23" s="22" t="s">
        <v>53</v>
      </c>
      <c r="J23" s="22" t="s">
        <v>53</v>
      </c>
      <c r="K23" s="25">
        <f t="shared" si="5"/>
        <v>1</v>
      </c>
      <c r="L23" s="24" t="str">
        <f t="shared" si="6"/>
        <v>CUMPLE</v>
      </c>
      <c r="M23" s="27"/>
    </row>
    <row r="24" ht="19.5" customHeight="1">
      <c r="A24" s="22" t="s">
        <v>154</v>
      </c>
      <c r="B24" s="27"/>
      <c r="C24" s="23" t="s">
        <v>155</v>
      </c>
      <c r="D24" s="22" t="s">
        <v>53</v>
      </c>
      <c r="E24" s="22" t="s">
        <v>53</v>
      </c>
      <c r="F24" s="22" t="s">
        <v>53</v>
      </c>
      <c r="G24" s="22" t="s">
        <v>53</v>
      </c>
      <c r="H24" s="22" t="s">
        <v>53</v>
      </c>
      <c r="I24" s="22" t="s">
        <v>53</v>
      </c>
      <c r="J24" s="22" t="s">
        <v>53</v>
      </c>
      <c r="K24" s="25">
        <f t="shared" si="5"/>
        <v>1</v>
      </c>
      <c r="L24" s="24" t="str">
        <f t="shared" si="6"/>
        <v>CUMPLE</v>
      </c>
      <c r="M24" s="27"/>
    </row>
    <row r="25" ht="19.5" customHeight="1">
      <c r="A25" s="22" t="s">
        <v>159</v>
      </c>
      <c r="B25" s="27"/>
      <c r="C25" s="23" t="s">
        <v>160</v>
      </c>
      <c r="D25" s="22" t="s">
        <v>53</v>
      </c>
      <c r="E25" s="22" t="s">
        <v>53</v>
      </c>
      <c r="F25" s="22" t="s">
        <v>53</v>
      </c>
      <c r="G25" s="22" t="s">
        <v>53</v>
      </c>
      <c r="H25" s="22" t="s">
        <v>53</v>
      </c>
      <c r="I25" s="22" t="s">
        <v>53</v>
      </c>
      <c r="J25" s="22" t="s">
        <v>53</v>
      </c>
      <c r="K25" s="25">
        <f t="shared" si="5"/>
        <v>1</v>
      </c>
      <c r="L25" s="24" t="str">
        <f t="shared" si="6"/>
        <v>CUMPLE</v>
      </c>
      <c r="M25" s="27"/>
    </row>
    <row r="26" ht="19.5" customHeight="1">
      <c r="A26" s="22" t="s">
        <v>161</v>
      </c>
      <c r="B26" s="27"/>
      <c r="C26" s="23" t="s">
        <v>163</v>
      </c>
      <c r="D26" s="22" t="s">
        <v>53</v>
      </c>
      <c r="E26" s="22" t="s">
        <v>53</v>
      </c>
      <c r="F26" s="22" t="s">
        <v>53</v>
      </c>
      <c r="G26" s="22" t="s">
        <v>53</v>
      </c>
      <c r="H26" s="22" t="s">
        <v>53</v>
      </c>
      <c r="I26" s="22" t="s">
        <v>53</v>
      </c>
      <c r="J26" s="22" t="s">
        <v>53</v>
      </c>
      <c r="K26" s="25">
        <f t="shared" si="5"/>
        <v>1</v>
      </c>
      <c r="L26" s="24" t="str">
        <f t="shared" si="6"/>
        <v>CUMPLE</v>
      </c>
      <c r="M26" s="27"/>
    </row>
    <row r="27" ht="19.5" customHeight="1">
      <c r="A27" s="16"/>
      <c r="B27" s="33" t="s">
        <v>83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20"/>
    </row>
    <row r="28" ht="19.5" customHeight="1">
      <c r="A28" s="22" t="s">
        <v>166</v>
      </c>
      <c r="B28" s="23" t="s">
        <v>167</v>
      </c>
      <c r="C28" s="23" t="s">
        <v>168</v>
      </c>
      <c r="D28" s="22" t="s">
        <v>53</v>
      </c>
      <c r="E28" s="22" t="s">
        <v>53</v>
      </c>
      <c r="F28" s="22" t="s">
        <v>169</v>
      </c>
      <c r="G28" s="22" t="s">
        <v>53</v>
      </c>
      <c r="H28" s="22" t="s">
        <v>53</v>
      </c>
      <c r="I28" s="22" t="s">
        <v>53</v>
      </c>
      <c r="J28" s="22" t="s">
        <v>53</v>
      </c>
      <c r="K28" s="25">
        <f t="shared" ref="K28:K31" si="7">IF(COUNTA(D28:J28)=0,"",(COUNTIF(D28:J28,"✓")+COUNTIF(D28:J28,"⚠")*0.5)/7)</f>
        <v>0.8571428571</v>
      </c>
      <c r="L28" s="24" t="str">
        <f t="shared" ref="L28:L31" si="8">IF(K28="","",IF(K28&gt;=0.9,"CUMPLE",IF(K28&gt;=0.6,"CUMPLE PARCIAL","NO CUMPLE")))</f>
        <v>CUMPLE PARCIAL</v>
      </c>
      <c r="M28" s="27"/>
    </row>
    <row r="29" ht="15.75" customHeight="1">
      <c r="A29" s="22" t="s">
        <v>174</v>
      </c>
      <c r="B29" s="23" t="s">
        <v>175</v>
      </c>
      <c r="C29" s="23" t="s">
        <v>176</v>
      </c>
      <c r="D29" s="22" t="s">
        <v>53</v>
      </c>
      <c r="E29" s="22" t="s">
        <v>53</v>
      </c>
      <c r="F29" s="22" t="s">
        <v>53</v>
      </c>
      <c r="G29" s="22" t="s">
        <v>53</v>
      </c>
      <c r="H29" s="22" t="s">
        <v>53</v>
      </c>
      <c r="I29" s="22" t="s">
        <v>53</v>
      </c>
      <c r="J29" s="22" t="s">
        <v>53</v>
      </c>
      <c r="K29" s="25">
        <f t="shared" si="7"/>
        <v>1</v>
      </c>
      <c r="L29" s="32" t="str">
        <f t="shared" si="8"/>
        <v>CUMPLE</v>
      </c>
      <c r="M29" s="27"/>
    </row>
    <row r="30" ht="15.75" customHeight="1">
      <c r="A30" s="22" t="s">
        <v>177</v>
      </c>
      <c r="B30" s="23" t="s">
        <v>178</v>
      </c>
      <c r="C30" s="23" t="s">
        <v>180</v>
      </c>
      <c r="D30" s="22" t="s">
        <v>53</v>
      </c>
      <c r="E30" s="22" t="s">
        <v>53</v>
      </c>
      <c r="F30" s="22" t="s">
        <v>53</v>
      </c>
      <c r="G30" s="22" t="s">
        <v>53</v>
      </c>
      <c r="H30" s="22" t="s">
        <v>53</v>
      </c>
      <c r="I30" s="22" t="s">
        <v>53</v>
      </c>
      <c r="J30" s="22" t="s">
        <v>53</v>
      </c>
      <c r="K30" s="25">
        <f t="shared" si="7"/>
        <v>1</v>
      </c>
      <c r="L30" s="24" t="str">
        <f t="shared" si="8"/>
        <v>CUMPLE</v>
      </c>
      <c r="M30" s="27"/>
    </row>
    <row r="31" ht="15.75" customHeight="1">
      <c r="A31" s="22" t="s">
        <v>183</v>
      </c>
      <c r="B31" s="23" t="s">
        <v>184</v>
      </c>
      <c r="C31" s="23" t="s">
        <v>185</v>
      </c>
      <c r="D31" s="22" t="s">
        <v>53</v>
      </c>
      <c r="E31" s="22" t="s">
        <v>53</v>
      </c>
      <c r="F31" s="22" t="s">
        <v>169</v>
      </c>
      <c r="G31" s="22" t="s">
        <v>53</v>
      </c>
      <c r="H31" s="22" t="s">
        <v>53</v>
      </c>
      <c r="I31" s="22" t="s">
        <v>53</v>
      </c>
      <c r="J31" s="22" t="s">
        <v>53</v>
      </c>
      <c r="K31" s="25">
        <f t="shared" si="7"/>
        <v>0.8571428571</v>
      </c>
      <c r="L31" s="24" t="str">
        <f t="shared" si="8"/>
        <v>CUMPLE PARCIAL</v>
      </c>
      <c r="M31" s="27"/>
    </row>
    <row r="32" ht="15.75" customHeight="1">
      <c r="A32" s="16"/>
      <c r="B32" s="33" t="s">
        <v>94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20"/>
    </row>
    <row r="33" ht="15.75" customHeight="1">
      <c r="A33" s="22" t="s">
        <v>189</v>
      </c>
      <c r="B33" s="22" t="s">
        <v>190</v>
      </c>
      <c r="C33" s="23" t="s">
        <v>191</v>
      </c>
      <c r="D33" s="22" t="s">
        <v>53</v>
      </c>
      <c r="E33" s="22" t="s">
        <v>53</v>
      </c>
      <c r="F33" s="22" t="s">
        <v>53</v>
      </c>
      <c r="G33" s="22" t="s">
        <v>53</v>
      </c>
      <c r="H33" s="22" t="s">
        <v>53</v>
      </c>
      <c r="I33" s="22" t="s">
        <v>53</v>
      </c>
      <c r="J33" s="22" t="s">
        <v>53</v>
      </c>
      <c r="K33" s="25">
        <f t="shared" ref="K33:K36" si="9">IF(COUNTA(D33:J33)=0,"",(COUNTIF(D33:J33,"✓")+COUNTIF(D33:J33,"⚠")*0.5)/7)</f>
        <v>1</v>
      </c>
      <c r="L33" s="24" t="str">
        <f t="shared" ref="L33:L36" si="10">IF(K33="","",IF(K33&gt;=0.9,"CUMPLE",IF(K33&gt;=0.6,"CUMPLE PARCIAL","NO CUMPLE")))</f>
        <v>CUMPLE</v>
      </c>
      <c r="M33" s="27"/>
    </row>
    <row r="34" ht="15.75" customHeight="1">
      <c r="A34" s="22" t="s">
        <v>196</v>
      </c>
      <c r="B34" s="22" t="s">
        <v>197</v>
      </c>
      <c r="C34" s="23" t="s">
        <v>198</v>
      </c>
      <c r="D34" s="22" t="s">
        <v>53</v>
      </c>
      <c r="E34" s="22" t="s">
        <v>53</v>
      </c>
      <c r="F34" s="22" t="s">
        <v>53</v>
      </c>
      <c r="G34" s="22" t="s">
        <v>53</v>
      </c>
      <c r="H34" s="22" t="s">
        <v>53</v>
      </c>
      <c r="I34" s="22" t="s">
        <v>53</v>
      </c>
      <c r="J34" s="22" t="s">
        <v>53</v>
      </c>
      <c r="K34" s="25">
        <f t="shared" si="9"/>
        <v>1</v>
      </c>
      <c r="L34" s="24" t="str">
        <f t="shared" si="10"/>
        <v>CUMPLE</v>
      </c>
      <c r="M34" s="27"/>
    </row>
    <row r="35" ht="15.75" customHeight="1">
      <c r="A35" s="22" t="s">
        <v>202</v>
      </c>
      <c r="B35" s="22" t="s">
        <v>203</v>
      </c>
      <c r="C35" s="23" t="s">
        <v>204</v>
      </c>
      <c r="D35" s="22" t="s">
        <v>53</v>
      </c>
      <c r="E35" s="22" t="s">
        <v>53</v>
      </c>
      <c r="F35" s="22" t="s">
        <v>53</v>
      </c>
      <c r="G35" s="22" t="s">
        <v>53</v>
      </c>
      <c r="H35" s="22" t="s">
        <v>53</v>
      </c>
      <c r="I35" s="22" t="s">
        <v>53</v>
      </c>
      <c r="J35" s="22" t="s">
        <v>53</v>
      </c>
      <c r="K35" s="25">
        <f t="shared" si="9"/>
        <v>1</v>
      </c>
      <c r="L35" s="24" t="str">
        <f t="shared" si="10"/>
        <v>CUMPLE</v>
      </c>
      <c r="M35" s="27"/>
    </row>
    <row r="36" ht="15.75" customHeight="1">
      <c r="A36" s="22" t="s">
        <v>206</v>
      </c>
      <c r="B36" s="22" t="s">
        <v>207</v>
      </c>
      <c r="C36" s="23" t="s">
        <v>209</v>
      </c>
      <c r="D36" s="22" t="s">
        <v>53</v>
      </c>
      <c r="E36" s="22" t="s">
        <v>53</v>
      </c>
      <c r="F36" s="22" t="s">
        <v>53</v>
      </c>
      <c r="G36" s="22" t="s">
        <v>53</v>
      </c>
      <c r="H36" s="22" t="s">
        <v>53</v>
      </c>
      <c r="I36" s="22" t="s">
        <v>53</v>
      </c>
      <c r="J36" s="22" t="s">
        <v>53</v>
      </c>
      <c r="K36" s="25">
        <f t="shared" si="9"/>
        <v>1</v>
      </c>
      <c r="L36" s="24" t="str">
        <f t="shared" si="10"/>
        <v>CUMPLE</v>
      </c>
      <c r="M36" s="27"/>
    </row>
    <row r="37" ht="15.75" customHeight="1">
      <c r="A37" s="17"/>
      <c r="B37" s="33" t="s">
        <v>102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20"/>
    </row>
    <row r="38" ht="15.75" customHeight="1">
      <c r="A38" s="22" t="s">
        <v>211</v>
      </c>
      <c r="B38" s="22" t="s">
        <v>213</v>
      </c>
      <c r="C38" s="23" t="s">
        <v>214</v>
      </c>
      <c r="D38" s="22" t="s">
        <v>53</v>
      </c>
      <c r="E38" s="22" t="s">
        <v>53</v>
      </c>
      <c r="F38" s="22" t="s">
        <v>53</v>
      </c>
      <c r="G38" s="22" t="s">
        <v>53</v>
      </c>
      <c r="H38" s="22" t="s">
        <v>53</v>
      </c>
      <c r="I38" s="22" t="s">
        <v>53</v>
      </c>
      <c r="J38" s="22" t="s">
        <v>53</v>
      </c>
      <c r="K38" s="25">
        <f t="shared" ref="K38:K39" si="11">IF(COUNTA(D38:J38)=0,"",(COUNTIF(D38:J38,"✓")+COUNTIF(D38:J38,"⚠")*0.5)/7)</f>
        <v>1</v>
      </c>
      <c r="L38" s="32" t="str">
        <f t="shared" ref="L38:L39" si="12">IF(K38="","",IF(K38&gt;=0.9,"CUMPLE",IF(K38&gt;=0.6,"CUMPLE PARCIAL","NO CUMPLE")))</f>
        <v>CUMPLE</v>
      </c>
      <c r="M38" s="27"/>
    </row>
    <row r="39" ht="15.75" customHeight="1">
      <c r="A39" s="22" t="s">
        <v>217</v>
      </c>
      <c r="B39" s="22" t="s">
        <v>219</v>
      </c>
      <c r="C39" s="23" t="s">
        <v>221</v>
      </c>
      <c r="D39" s="22" t="s">
        <v>53</v>
      </c>
      <c r="E39" s="22" t="s">
        <v>53</v>
      </c>
      <c r="F39" s="22" t="s">
        <v>53</v>
      </c>
      <c r="G39" s="22" t="s">
        <v>53</v>
      </c>
      <c r="H39" s="22" t="s">
        <v>53</v>
      </c>
      <c r="I39" s="22" t="s">
        <v>53</v>
      </c>
      <c r="J39" s="22" t="s">
        <v>53</v>
      </c>
      <c r="K39" s="25">
        <f t="shared" si="11"/>
        <v>1</v>
      </c>
      <c r="L39" s="24" t="str">
        <f t="shared" si="12"/>
        <v>CUMPLE</v>
      </c>
      <c r="M39" s="27"/>
    </row>
    <row r="40" ht="15.75" customHeight="1">
      <c r="A40" s="16"/>
      <c r="B40" s="33" t="s">
        <v>109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20"/>
    </row>
    <row r="41" ht="15.75" customHeight="1">
      <c r="A41" s="22" t="s">
        <v>223</v>
      </c>
      <c r="B41" s="22" t="s">
        <v>224</v>
      </c>
      <c r="C41" s="23" t="s">
        <v>226</v>
      </c>
      <c r="D41" s="22" t="s">
        <v>53</v>
      </c>
      <c r="E41" s="22" t="s">
        <v>53</v>
      </c>
      <c r="F41" s="22" t="s">
        <v>53</v>
      </c>
      <c r="G41" s="22" t="s">
        <v>53</v>
      </c>
      <c r="H41" s="22" t="s">
        <v>53</v>
      </c>
      <c r="I41" s="22" t="s">
        <v>53</v>
      </c>
      <c r="J41" s="22" t="s">
        <v>53</v>
      </c>
      <c r="K41" s="25">
        <f t="shared" ref="K41:K44" si="13">IF(COUNTA(D41:J41)=0,"",(COUNTIF(D41:J41,"✓")+COUNTIF(D41:J41,"⚠")*0.5)/7)</f>
        <v>1</v>
      </c>
      <c r="L41" s="24" t="str">
        <f t="shared" ref="L41:L44" si="14">IF(K41="","",IF(K41&gt;=0.9,"CUMPLE",IF(K41&gt;=0.6,"CUMPLE PARCIAL","NO CUMPLE")))</f>
        <v>CUMPLE</v>
      </c>
      <c r="M41" s="27"/>
    </row>
    <row r="42" ht="15.75" customHeight="1">
      <c r="A42" s="22" t="s">
        <v>231</v>
      </c>
      <c r="B42" s="22" t="s">
        <v>232</v>
      </c>
      <c r="C42" s="23" t="s">
        <v>234</v>
      </c>
      <c r="D42" s="22" t="s">
        <v>53</v>
      </c>
      <c r="E42" s="22" t="s">
        <v>53</v>
      </c>
      <c r="F42" s="22" t="s">
        <v>53</v>
      </c>
      <c r="G42" s="22" t="s">
        <v>53</v>
      </c>
      <c r="H42" s="22" t="s">
        <v>53</v>
      </c>
      <c r="I42" s="22" t="s">
        <v>53</v>
      </c>
      <c r="J42" s="22" t="s">
        <v>53</v>
      </c>
      <c r="K42" s="25">
        <f t="shared" si="13"/>
        <v>1</v>
      </c>
      <c r="L42" s="24" t="str">
        <f t="shared" si="14"/>
        <v>CUMPLE</v>
      </c>
      <c r="M42" s="27"/>
    </row>
    <row r="43" ht="15.75" customHeight="1">
      <c r="A43" s="22" t="s">
        <v>235</v>
      </c>
      <c r="B43" s="22" t="s">
        <v>236</v>
      </c>
      <c r="C43" s="23" t="s">
        <v>237</v>
      </c>
      <c r="D43" s="22" t="s">
        <v>53</v>
      </c>
      <c r="E43" s="22" t="s">
        <v>53</v>
      </c>
      <c r="F43" s="22" t="s">
        <v>53</v>
      </c>
      <c r="G43" s="22" t="s">
        <v>53</v>
      </c>
      <c r="H43" s="22" t="s">
        <v>53</v>
      </c>
      <c r="I43" s="22" t="s">
        <v>53</v>
      </c>
      <c r="J43" s="22" t="s">
        <v>53</v>
      </c>
      <c r="K43" s="25">
        <f t="shared" si="13"/>
        <v>1</v>
      </c>
      <c r="L43" s="24" t="str">
        <f t="shared" si="14"/>
        <v>CUMPLE</v>
      </c>
      <c r="M43" s="27"/>
    </row>
    <row r="44" ht="15.75" customHeight="1">
      <c r="A44" s="22" t="s">
        <v>240</v>
      </c>
      <c r="B44" s="22" t="s">
        <v>241</v>
      </c>
      <c r="C44" s="23" t="s">
        <v>243</v>
      </c>
      <c r="D44" s="22" t="s">
        <v>53</v>
      </c>
      <c r="E44" s="22" t="s">
        <v>53</v>
      </c>
      <c r="F44" s="22" t="s">
        <v>53</v>
      </c>
      <c r="G44" s="22" t="s">
        <v>53</v>
      </c>
      <c r="H44" s="22" t="s">
        <v>53</v>
      </c>
      <c r="I44" s="22" t="s">
        <v>53</v>
      </c>
      <c r="J44" s="22" t="s">
        <v>53</v>
      </c>
      <c r="K44" s="25">
        <f t="shared" si="13"/>
        <v>1</v>
      </c>
      <c r="L44" s="24" t="str">
        <f t="shared" si="14"/>
        <v>CUMPLE</v>
      </c>
      <c r="M44" s="27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8">
    <mergeCell ref="A1:M1"/>
    <mergeCell ref="B3:M3"/>
    <mergeCell ref="B13:M13"/>
    <mergeCell ref="B18:M18"/>
    <mergeCell ref="B27:M27"/>
    <mergeCell ref="B32:M32"/>
    <mergeCell ref="B37:M37"/>
    <mergeCell ref="B40:M40"/>
  </mergeCells>
  <conditionalFormatting sqref="D4:J12 D14:J17 D19:J26 D28:J31 D33:J36 D38:J39 D41:J44 L41:L44">
    <cfRule type="cellIs" dxfId="0" priority="1" operator="equal">
      <formula>"✓"</formula>
    </cfRule>
  </conditionalFormatting>
  <conditionalFormatting sqref="D4:J12 D14:J17 D19:J26 D28:J31 D33:J36 D38:J39 D41:J44 L41:L44">
    <cfRule type="cellIs" dxfId="1" priority="2" operator="equal">
      <formula>"✗"</formula>
    </cfRule>
  </conditionalFormatting>
  <conditionalFormatting sqref="D4:J12 D14:J17 D19:J26 D28:J31 D33:J36 D38:J39 D41:J44 L41:L44">
    <cfRule type="cellIs" dxfId="2" priority="3" operator="equal">
      <formula>"⚠"</formula>
    </cfRule>
  </conditionalFormatting>
  <conditionalFormatting sqref="L4:L12 L14:L17 L19:L26 L28:L31 L33:L36 L38:L39 L41:L44">
    <cfRule type="cellIs" dxfId="0" priority="4" operator="equal">
      <formula>"CUMPLE"</formula>
    </cfRule>
  </conditionalFormatting>
  <conditionalFormatting sqref="L4:L12 L14:L17 L19:L26 L28:L31 L33:L36 L38:L39 L41:L44">
    <cfRule type="cellIs" dxfId="1" priority="5" operator="equal">
      <formula>"NO CUMPLE"</formula>
    </cfRule>
  </conditionalFormatting>
  <conditionalFormatting sqref="L4:L12 L14:L17 L19:L26 L28:L31 L33:L36 L38:L39 L41:L44">
    <cfRule type="cellIs" dxfId="2" priority="6" operator="equal">
      <formula>"CUMPLE PARCIAL"</formula>
    </cfRule>
  </conditionalFormatting>
  <dataValidations>
    <dataValidation type="list" allowBlank="1" sqref="D4:J12 D14:J17 D19:J26 D28:J31 D33:J36 D38:J39 D41:J44">
      <formula1>"✓,✗,⚠"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2.0"/>
    <col customWidth="1" min="2" max="2" width="34.43"/>
    <col customWidth="1" min="3" max="3" width="16.43"/>
    <col customWidth="1" min="4" max="4" width="13.0"/>
    <col customWidth="1" min="5" max="5" width="19.86"/>
    <col customWidth="1" min="6" max="11" width="13.0"/>
    <col customWidth="1" min="12" max="12" width="14.0"/>
    <col customWidth="1" min="13" max="13" width="18.57"/>
    <col customWidth="1" min="14" max="14" width="55.57"/>
    <col customWidth="1" min="15" max="27" width="8.71"/>
  </cols>
  <sheetData>
    <row r="1" ht="30.0" customHeight="1">
      <c r="A1" s="7" t="s">
        <v>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10"/>
    </row>
    <row r="2">
      <c r="A2" s="12" t="s">
        <v>7</v>
      </c>
      <c r="B2" s="12" t="s">
        <v>13</v>
      </c>
      <c r="C2" s="12" t="s">
        <v>14</v>
      </c>
      <c r="D2" s="12" t="s">
        <v>16</v>
      </c>
      <c r="E2" s="12" t="s">
        <v>18</v>
      </c>
      <c r="F2" s="12" t="s">
        <v>21</v>
      </c>
      <c r="G2" s="15" t="s">
        <v>24</v>
      </c>
      <c r="H2" s="12" t="s">
        <v>29</v>
      </c>
      <c r="I2" s="12" t="s">
        <v>32</v>
      </c>
      <c r="J2" s="12" t="s">
        <v>35</v>
      </c>
      <c r="K2" s="15" t="s">
        <v>38</v>
      </c>
      <c r="L2" s="12" t="s">
        <v>40</v>
      </c>
      <c r="M2" s="12" t="s">
        <v>43</v>
      </c>
      <c r="N2" s="12" t="s">
        <v>44</v>
      </c>
    </row>
    <row r="3" ht="19.5" customHeight="1">
      <c r="A3" s="16"/>
      <c r="B3" s="18" t="s">
        <v>47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</row>
    <row r="4" ht="30.0" customHeight="1">
      <c r="A4" s="22" t="s">
        <v>49</v>
      </c>
      <c r="B4" s="23" t="s">
        <v>50</v>
      </c>
      <c r="C4" s="22" t="s">
        <v>53</v>
      </c>
      <c r="D4" s="22" t="s">
        <v>53</v>
      </c>
      <c r="E4" s="22" t="s">
        <v>53</v>
      </c>
      <c r="F4" s="22" t="s">
        <v>53</v>
      </c>
      <c r="G4" s="22" t="s">
        <v>53</v>
      </c>
      <c r="H4" s="22" t="s">
        <v>53</v>
      </c>
      <c r="I4" s="22" t="s">
        <v>54</v>
      </c>
      <c r="J4" s="22" t="s">
        <v>53</v>
      </c>
      <c r="K4" s="22" t="s">
        <v>53</v>
      </c>
      <c r="L4" s="25">
        <f t="shared" ref="L4:L12" si="1">IF(COUNTA(C4:K4)=0,"",(COUNTIF(C4:K4,"✓")+COUNTIF(C4:K4,"⚠")*0.5)/9)</f>
        <v>0.9444444444</v>
      </c>
      <c r="M4" s="24" t="str">
        <f t="shared" ref="M4:M12" si="2">IF(L4="","",IF(L4&gt;=0.9,"CUMPLE",IF(L4&gt;=0.6,"CUMPLE PARCIAL","NO CUMPLE")))</f>
        <v>CUMPLE</v>
      </c>
      <c r="N4" s="23" t="s">
        <v>62</v>
      </c>
    </row>
    <row r="5" ht="19.5" customHeight="1">
      <c r="A5" s="22" t="s">
        <v>63</v>
      </c>
      <c r="B5" s="23" t="s">
        <v>64</v>
      </c>
      <c r="C5" s="22" t="s">
        <v>53</v>
      </c>
      <c r="D5" s="22" t="s">
        <v>53</v>
      </c>
      <c r="E5" s="22" t="s">
        <v>53</v>
      </c>
      <c r="F5" s="22" t="s">
        <v>53</v>
      </c>
      <c r="G5" s="22" t="s">
        <v>53</v>
      </c>
      <c r="H5" s="22" t="s">
        <v>53</v>
      </c>
      <c r="I5" s="22" t="s">
        <v>53</v>
      </c>
      <c r="J5" s="22" t="s">
        <v>53</v>
      </c>
      <c r="K5" s="22" t="s">
        <v>53</v>
      </c>
      <c r="L5" s="25">
        <f t="shared" si="1"/>
        <v>1</v>
      </c>
      <c r="M5" s="24" t="str">
        <f t="shared" si="2"/>
        <v>CUMPLE</v>
      </c>
      <c r="N5" s="27"/>
    </row>
    <row r="6" ht="25.5" customHeight="1">
      <c r="A6" s="22" t="s">
        <v>70</v>
      </c>
      <c r="B6" s="23" t="s">
        <v>71</v>
      </c>
      <c r="C6" s="22" t="s">
        <v>53</v>
      </c>
      <c r="D6" s="22" t="s">
        <v>53</v>
      </c>
      <c r="E6" s="22" t="s">
        <v>53</v>
      </c>
      <c r="F6" s="22" t="s">
        <v>53</v>
      </c>
      <c r="G6" s="22" t="s">
        <v>53</v>
      </c>
      <c r="H6" s="22" t="s">
        <v>53</v>
      </c>
      <c r="I6" s="22" t="s">
        <v>54</v>
      </c>
      <c r="J6" s="22" t="s">
        <v>53</v>
      </c>
      <c r="K6" s="22" t="s">
        <v>53</v>
      </c>
      <c r="L6" s="25">
        <f t="shared" si="1"/>
        <v>0.9444444444</v>
      </c>
      <c r="M6" s="24" t="str">
        <f t="shared" si="2"/>
        <v>CUMPLE</v>
      </c>
      <c r="N6" s="23" t="s">
        <v>76</v>
      </c>
    </row>
    <row r="7" ht="19.5" customHeight="1">
      <c r="A7" s="22" t="s">
        <v>78</v>
      </c>
      <c r="B7" s="23" t="s">
        <v>80</v>
      </c>
      <c r="C7" s="22" t="s">
        <v>53</v>
      </c>
      <c r="D7" s="22" t="s">
        <v>53</v>
      </c>
      <c r="E7" s="22" t="s">
        <v>53</v>
      </c>
      <c r="F7" s="22" t="s">
        <v>53</v>
      </c>
      <c r="G7" s="22" t="s">
        <v>53</v>
      </c>
      <c r="H7" s="22" t="s">
        <v>53</v>
      </c>
      <c r="I7" s="22" t="s">
        <v>53</v>
      </c>
      <c r="J7" s="22" t="s">
        <v>53</v>
      </c>
      <c r="K7" s="22" t="s">
        <v>53</v>
      </c>
      <c r="L7" s="25">
        <f t="shared" si="1"/>
        <v>1</v>
      </c>
      <c r="M7" s="24" t="str">
        <f t="shared" si="2"/>
        <v>CUMPLE</v>
      </c>
      <c r="N7" s="23"/>
    </row>
    <row r="8" ht="19.5" customHeight="1">
      <c r="A8" s="22" t="s">
        <v>86</v>
      </c>
      <c r="B8" s="23" t="s">
        <v>88</v>
      </c>
      <c r="C8" s="22" t="s">
        <v>53</v>
      </c>
      <c r="D8" s="22" t="s">
        <v>53</v>
      </c>
      <c r="E8" s="22" t="s">
        <v>53</v>
      </c>
      <c r="F8" s="22" t="s">
        <v>53</v>
      </c>
      <c r="G8" s="22" t="s">
        <v>53</v>
      </c>
      <c r="H8" s="22" t="s">
        <v>53</v>
      </c>
      <c r="I8" s="22" t="s">
        <v>54</v>
      </c>
      <c r="J8" s="22" t="s">
        <v>53</v>
      </c>
      <c r="K8" s="22" t="s">
        <v>53</v>
      </c>
      <c r="L8" s="25">
        <f t="shared" si="1"/>
        <v>0.9444444444</v>
      </c>
      <c r="M8" s="24" t="str">
        <f t="shared" si="2"/>
        <v>CUMPLE</v>
      </c>
      <c r="N8" s="27"/>
    </row>
    <row r="9" ht="19.5" customHeight="1">
      <c r="A9" s="22" t="s">
        <v>93</v>
      </c>
      <c r="B9" s="23" t="s">
        <v>96</v>
      </c>
      <c r="C9" s="22" t="s">
        <v>53</v>
      </c>
      <c r="D9" s="22" t="s">
        <v>53</v>
      </c>
      <c r="E9" s="22" t="s">
        <v>53</v>
      </c>
      <c r="F9" s="22" t="s">
        <v>53</v>
      </c>
      <c r="G9" s="22" t="s">
        <v>53</v>
      </c>
      <c r="H9" s="22" t="s">
        <v>53</v>
      </c>
      <c r="I9" s="22" t="s">
        <v>53</v>
      </c>
      <c r="J9" s="22" t="s">
        <v>53</v>
      </c>
      <c r="K9" s="22" t="s">
        <v>53</v>
      </c>
      <c r="L9" s="25">
        <f t="shared" si="1"/>
        <v>1</v>
      </c>
      <c r="M9" s="24" t="str">
        <f t="shared" si="2"/>
        <v>CUMPLE</v>
      </c>
      <c r="N9" s="27"/>
    </row>
    <row r="10" ht="27.75" customHeight="1">
      <c r="A10" s="22" t="s">
        <v>97</v>
      </c>
      <c r="B10" s="30" t="s">
        <v>99</v>
      </c>
      <c r="C10" s="22" t="s">
        <v>53</v>
      </c>
      <c r="D10" s="22" t="s">
        <v>53</v>
      </c>
      <c r="E10" s="22" t="s">
        <v>53</v>
      </c>
      <c r="F10" s="22" t="s">
        <v>53</v>
      </c>
      <c r="G10" s="22" t="s">
        <v>53</v>
      </c>
      <c r="H10" s="22" t="s">
        <v>53</v>
      </c>
      <c r="I10" s="22" t="s">
        <v>54</v>
      </c>
      <c r="J10" s="22" t="s">
        <v>53</v>
      </c>
      <c r="K10" s="22" t="s">
        <v>53</v>
      </c>
      <c r="L10" s="25">
        <f t="shared" si="1"/>
        <v>0.9444444444</v>
      </c>
      <c r="M10" s="24" t="str">
        <f t="shared" si="2"/>
        <v>CUMPLE</v>
      </c>
      <c r="N10" s="31" t="s">
        <v>104</v>
      </c>
    </row>
    <row r="11" ht="32.25" customHeight="1">
      <c r="A11" s="22" t="s">
        <v>106</v>
      </c>
      <c r="B11" s="23" t="s">
        <v>108</v>
      </c>
      <c r="C11" s="22" t="s">
        <v>53</v>
      </c>
      <c r="D11" s="22" t="s">
        <v>53</v>
      </c>
      <c r="E11" s="22" t="s">
        <v>53</v>
      </c>
      <c r="F11" s="22" t="s">
        <v>53</v>
      </c>
      <c r="G11" s="22" t="s">
        <v>53</v>
      </c>
      <c r="H11" s="22" t="s">
        <v>53</v>
      </c>
      <c r="I11" s="22" t="s">
        <v>54</v>
      </c>
      <c r="J11" s="22" t="s">
        <v>53</v>
      </c>
      <c r="K11" s="22" t="s">
        <v>53</v>
      </c>
      <c r="L11" s="25">
        <f t="shared" si="1"/>
        <v>0.9444444444</v>
      </c>
      <c r="M11" s="32" t="str">
        <f t="shared" si="2"/>
        <v>CUMPLE</v>
      </c>
      <c r="N11" s="23" t="s">
        <v>111</v>
      </c>
    </row>
    <row r="12" ht="19.5" customHeight="1">
      <c r="A12" s="22" t="s">
        <v>113</v>
      </c>
      <c r="B12" s="23" t="s">
        <v>114</v>
      </c>
      <c r="C12" s="22" t="s">
        <v>53</v>
      </c>
      <c r="D12" s="22" t="s">
        <v>53</v>
      </c>
      <c r="E12" s="22" t="s">
        <v>53</v>
      </c>
      <c r="F12" s="22" t="s">
        <v>53</v>
      </c>
      <c r="G12" s="22" t="s">
        <v>53</v>
      </c>
      <c r="H12" s="22" t="s">
        <v>53</v>
      </c>
      <c r="I12" s="22" t="s">
        <v>53</v>
      </c>
      <c r="J12" s="22" t="s">
        <v>53</v>
      </c>
      <c r="K12" s="22" t="s">
        <v>53</v>
      </c>
      <c r="L12" s="25">
        <f t="shared" si="1"/>
        <v>1</v>
      </c>
      <c r="M12" s="24" t="str">
        <f t="shared" si="2"/>
        <v>CUMPLE</v>
      </c>
      <c r="N12" s="27"/>
    </row>
    <row r="13" ht="19.5" customHeight="1">
      <c r="A13" s="16"/>
      <c r="B13" s="33" t="s">
        <v>66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</row>
    <row r="14" ht="19.5" customHeight="1">
      <c r="A14" s="22" t="s">
        <v>121</v>
      </c>
      <c r="B14" s="23" t="s">
        <v>50</v>
      </c>
      <c r="C14" s="22" t="s">
        <v>53</v>
      </c>
      <c r="D14" s="22" t="s">
        <v>53</v>
      </c>
      <c r="E14" s="22" t="s">
        <v>53</v>
      </c>
      <c r="F14" s="22" t="s">
        <v>53</v>
      </c>
      <c r="G14" s="22" t="s">
        <v>53</v>
      </c>
      <c r="H14" s="22" t="s">
        <v>53</v>
      </c>
      <c r="I14" s="22" t="s">
        <v>54</v>
      </c>
      <c r="J14" s="22" t="s">
        <v>54</v>
      </c>
      <c r="K14" s="22" t="s">
        <v>53</v>
      </c>
      <c r="L14" s="25">
        <f t="shared" ref="L14:L17" si="3">IF(COUNTA(D14:J14)=0,"",(COUNTIF(D14:J14,"✓")+COUNTIF(D14:J14,"⚠")*0.5)/7)</f>
        <v>0.8571428571</v>
      </c>
      <c r="M14" s="24" t="str">
        <f t="shared" ref="M14:M17" si="4">IF(L14="","",IF(L14&gt;=0.9,"CUMPLE",IF(L14&gt;=0.6,"CUMPLE PARCIAL","NO CUMPLE")))</f>
        <v>CUMPLE PARCIAL</v>
      </c>
      <c r="N14" s="23" t="s">
        <v>129</v>
      </c>
    </row>
    <row r="15" ht="19.5" customHeight="1">
      <c r="A15" s="22" t="s">
        <v>130</v>
      </c>
      <c r="B15" s="23" t="s">
        <v>125</v>
      </c>
      <c r="C15" s="22" t="s">
        <v>53</v>
      </c>
      <c r="D15" s="22" t="s">
        <v>53</v>
      </c>
      <c r="E15" s="22" t="s">
        <v>53</v>
      </c>
      <c r="F15" s="22" t="s">
        <v>53</v>
      </c>
      <c r="G15" s="22" t="s">
        <v>53</v>
      </c>
      <c r="H15" s="22" t="s">
        <v>53</v>
      </c>
      <c r="I15" s="22" t="s">
        <v>53</v>
      </c>
      <c r="J15" s="22" t="s">
        <v>53</v>
      </c>
      <c r="K15" s="22" t="s">
        <v>53</v>
      </c>
      <c r="L15" s="25">
        <f t="shared" si="3"/>
        <v>1</v>
      </c>
      <c r="M15" s="24" t="str">
        <f t="shared" si="4"/>
        <v>CUMPLE</v>
      </c>
      <c r="N15" s="27"/>
    </row>
    <row r="16" ht="19.5" customHeight="1">
      <c r="A16" s="22" t="s">
        <v>135</v>
      </c>
      <c r="B16" s="23" t="s">
        <v>128</v>
      </c>
      <c r="C16" s="22" t="s">
        <v>53</v>
      </c>
      <c r="D16" s="22" t="s">
        <v>53</v>
      </c>
      <c r="E16" s="22" t="s">
        <v>53</v>
      </c>
      <c r="F16" s="22" t="s">
        <v>53</v>
      </c>
      <c r="G16" s="22" t="s">
        <v>53</v>
      </c>
      <c r="H16" s="22" t="s">
        <v>53</v>
      </c>
      <c r="I16" s="22" t="s">
        <v>54</v>
      </c>
      <c r="J16" s="22" t="s">
        <v>54</v>
      </c>
      <c r="K16" s="22" t="s">
        <v>53</v>
      </c>
      <c r="L16" s="25">
        <f t="shared" si="3"/>
        <v>0.8571428571</v>
      </c>
      <c r="M16" s="24" t="str">
        <f t="shared" si="4"/>
        <v>CUMPLE PARCIAL</v>
      </c>
      <c r="N16" s="23" t="s">
        <v>138</v>
      </c>
    </row>
    <row r="17" ht="19.5" customHeight="1">
      <c r="A17" s="22" t="s">
        <v>140</v>
      </c>
      <c r="B17" s="23" t="s">
        <v>134</v>
      </c>
      <c r="C17" s="22" t="s">
        <v>53</v>
      </c>
      <c r="D17" s="22" t="s">
        <v>53</v>
      </c>
      <c r="E17" s="22" t="s">
        <v>53</v>
      </c>
      <c r="F17" s="22" t="s">
        <v>53</v>
      </c>
      <c r="G17" s="22" t="s">
        <v>53</v>
      </c>
      <c r="H17" s="22" t="s">
        <v>53</v>
      </c>
      <c r="I17" s="22" t="s">
        <v>54</v>
      </c>
      <c r="J17" s="22" t="s">
        <v>54</v>
      </c>
      <c r="K17" s="22" t="s">
        <v>53</v>
      </c>
      <c r="L17" s="25">
        <f t="shared" si="3"/>
        <v>0.8571428571</v>
      </c>
      <c r="M17" s="24" t="str">
        <f t="shared" si="4"/>
        <v>CUMPLE PARCIAL</v>
      </c>
      <c r="N17" s="23" t="s">
        <v>143</v>
      </c>
    </row>
    <row r="18" ht="19.5" customHeight="1">
      <c r="A18" s="16"/>
      <c r="B18" s="33" t="s">
        <v>74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</row>
    <row r="19" ht="19.5" customHeight="1">
      <c r="A19" s="22" t="s">
        <v>148</v>
      </c>
      <c r="B19" s="39" t="s">
        <v>137</v>
      </c>
      <c r="C19" s="22" t="s">
        <v>53</v>
      </c>
      <c r="D19" s="22" t="s">
        <v>53</v>
      </c>
      <c r="E19" s="22" t="s">
        <v>53</v>
      </c>
      <c r="F19" s="22" t="s">
        <v>53</v>
      </c>
      <c r="G19" s="22" t="s">
        <v>53</v>
      </c>
      <c r="H19" s="22" t="s">
        <v>53</v>
      </c>
      <c r="I19" s="22" t="s">
        <v>53</v>
      </c>
      <c r="J19" s="22" t="s">
        <v>53</v>
      </c>
      <c r="K19" s="22" t="s">
        <v>53</v>
      </c>
      <c r="L19" s="25">
        <f t="shared" ref="L19:L26" si="5">IF(COUNTA(C19:J19)=0,"",(COUNTIF(C19:J19,"✓")+COUNTIF(C19:J19,"⚠")*0.5)/8)</f>
        <v>1</v>
      </c>
      <c r="M19" s="24" t="str">
        <f t="shared" ref="M19:M26" si="6">IF(L19="","",IF(L19&gt;=0.9,"CUMPLE",IF(L19&gt;=0.6,"CUMPLE PARCIAL","NO CUMPLE")))</f>
        <v>CUMPLE</v>
      </c>
      <c r="N19" s="27"/>
    </row>
    <row r="20" ht="19.5" customHeight="1">
      <c r="A20" s="22" t="s">
        <v>157</v>
      </c>
      <c r="B20" s="40" t="s">
        <v>142</v>
      </c>
      <c r="C20" s="22" t="s">
        <v>53</v>
      </c>
      <c r="D20" s="22" t="s">
        <v>53</v>
      </c>
      <c r="E20" s="22" t="s">
        <v>53</v>
      </c>
      <c r="F20" s="22" t="s">
        <v>53</v>
      </c>
      <c r="G20" s="22" t="s">
        <v>53</v>
      </c>
      <c r="H20" s="22" t="s">
        <v>53</v>
      </c>
      <c r="I20" s="22" t="s">
        <v>53</v>
      </c>
      <c r="J20" s="22" t="s">
        <v>53</v>
      </c>
      <c r="K20" s="22" t="s">
        <v>53</v>
      </c>
      <c r="L20" s="25">
        <f t="shared" si="5"/>
        <v>1</v>
      </c>
      <c r="M20" s="24" t="str">
        <f t="shared" si="6"/>
        <v>CUMPLE</v>
      </c>
      <c r="N20" s="27"/>
    </row>
    <row r="21" ht="19.5" customHeight="1">
      <c r="A21" s="22" t="s">
        <v>165</v>
      </c>
      <c r="B21" s="40" t="s">
        <v>147</v>
      </c>
      <c r="C21" s="22" t="s">
        <v>53</v>
      </c>
      <c r="D21" s="22" t="s">
        <v>53</v>
      </c>
      <c r="E21" s="22" t="s">
        <v>53</v>
      </c>
      <c r="F21" s="22" t="s">
        <v>53</v>
      </c>
      <c r="G21" s="22" t="s">
        <v>53</v>
      </c>
      <c r="H21" s="22" t="s">
        <v>53</v>
      </c>
      <c r="I21" s="22" t="s">
        <v>53</v>
      </c>
      <c r="J21" s="22" t="s">
        <v>53</v>
      </c>
      <c r="K21" s="22" t="s">
        <v>53</v>
      </c>
      <c r="L21" s="25">
        <f t="shared" si="5"/>
        <v>1</v>
      </c>
      <c r="M21" s="24" t="str">
        <f t="shared" si="6"/>
        <v>CUMPLE</v>
      </c>
      <c r="N21" s="27"/>
    </row>
    <row r="22" ht="19.5" customHeight="1">
      <c r="A22" s="22" t="s">
        <v>170</v>
      </c>
      <c r="B22" s="40" t="s">
        <v>150</v>
      </c>
      <c r="C22" s="22" t="s">
        <v>53</v>
      </c>
      <c r="D22" s="22" t="s">
        <v>53</v>
      </c>
      <c r="E22" s="22" t="s">
        <v>53</v>
      </c>
      <c r="F22" s="22" t="s">
        <v>53</v>
      </c>
      <c r="G22" s="22" t="s">
        <v>53</v>
      </c>
      <c r="H22" s="22" t="s">
        <v>53</v>
      </c>
      <c r="I22" s="22" t="s">
        <v>53</v>
      </c>
      <c r="J22" s="22" t="s">
        <v>53</v>
      </c>
      <c r="K22" s="22" t="s">
        <v>53</v>
      </c>
      <c r="L22" s="25">
        <f t="shared" si="5"/>
        <v>1</v>
      </c>
      <c r="M22" s="24" t="str">
        <f t="shared" si="6"/>
        <v>CUMPLE</v>
      </c>
      <c r="N22" s="27"/>
    </row>
    <row r="23" ht="19.5" customHeight="1">
      <c r="A23" s="22" t="s">
        <v>173</v>
      </c>
      <c r="B23" s="40" t="s">
        <v>153</v>
      </c>
      <c r="C23" s="22" t="s">
        <v>53</v>
      </c>
      <c r="D23" s="22" t="s">
        <v>53</v>
      </c>
      <c r="E23" s="22" t="s">
        <v>53</v>
      </c>
      <c r="F23" s="22" t="s">
        <v>53</v>
      </c>
      <c r="G23" s="22" t="s">
        <v>53</v>
      </c>
      <c r="H23" s="22" t="s">
        <v>53</v>
      </c>
      <c r="I23" s="22" t="s">
        <v>53</v>
      </c>
      <c r="J23" s="22" t="s">
        <v>53</v>
      </c>
      <c r="K23" s="22" t="s">
        <v>53</v>
      </c>
      <c r="L23" s="25">
        <f t="shared" si="5"/>
        <v>1</v>
      </c>
      <c r="M23" s="24" t="str">
        <f t="shared" si="6"/>
        <v>CUMPLE</v>
      </c>
      <c r="N23" s="27"/>
    </row>
    <row r="24" ht="19.5" customHeight="1">
      <c r="A24" s="22" t="s">
        <v>182</v>
      </c>
      <c r="B24" s="40" t="s">
        <v>155</v>
      </c>
      <c r="C24" s="22" t="s">
        <v>53</v>
      </c>
      <c r="D24" s="22" t="s">
        <v>53</v>
      </c>
      <c r="E24" s="22" t="s">
        <v>53</v>
      </c>
      <c r="F24" s="22" t="s">
        <v>53</v>
      </c>
      <c r="G24" s="22" t="s">
        <v>53</v>
      </c>
      <c r="H24" s="22" t="s">
        <v>53</v>
      </c>
      <c r="I24" s="22" t="s">
        <v>53</v>
      </c>
      <c r="J24" s="22" t="s">
        <v>53</v>
      </c>
      <c r="K24" s="22" t="s">
        <v>53</v>
      </c>
      <c r="L24" s="25">
        <f t="shared" si="5"/>
        <v>1</v>
      </c>
      <c r="M24" s="24" t="str">
        <f t="shared" si="6"/>
        <v>CUMPLE</v>
      </c>
      <c r="N24" s="27"/>
    </row>
    <row r="25" ht="19.5" customHeight="1">
      <c r="A25" s="22" t="s">
        <v>186</v>
      </c>
      <c r="B25" s="40" t="s">
        <v>160</v>
      </c>
      <c r="C25" s="22" t="s">
        <v>53</v>
      </c>
      <c r="D25" s="22" t="s">
        <v>53</v>
      </c>
      <c r="E25" s="22" t="s">
        <v>53</v>
      </c>
      <c r="F25" s="22" t="s">
        <v>53</v>
      </c>
      <c r="G25" s="22" t="s">
        <v>53</v>
      </c>
      <c r="H25" s="22" t="s">
        <v>53</v>
      </c>
      <c r="I25" s="22" t="s">
        <v>53</v>
      </c>
      <c r="J25" s="22" t="s">
        <v>53</v>
      </c>
      <c r="K25" s="22" t="s">
        <v>53</v>
      </c>
      <c r="L25" s="25">
        <f t="shared" si="5"/>
        <v>1</v>
      </c>
      <c r="M25" s="24" t="str">
        <f t="shared" si="6"/>
        <v>CUMPLE</v>
      </c>
      <c r="N25" s="27"/>
    </row>
    <row r="26" ht="19.5" customHeight="1">
      <c r="A26" s="22" t="s">
        <v>192</v>
      </c>
      <c r="B26" s="40" t="s">
        <v>163</v>
      </c>
      <c r="C26" s="22" t="s">
        <v>53</v>
      </c>
      <c r="D26" s="22" t="s">
        <v>53</v>
      </c>
      <c r="E26" s="22" t="s">
        <v>53</v>
      </c>
      <c r="F26" s="22" t="s">
        <v>53</v>
      </c>
      <c r="G26" s="22" t="s">
        <v>53</v>
      </c>
      <c r="H26" s="22" t="s">
        <v>53</v>
      </c>
      <c r="I26" s="22" t="s">
        <v>53</v>
      </c>
      <c r="J26" s="22" t="s">
        <v>53</v>
      </c>
      <c r="K26" s="22" t="s">
        <v>53</v>
      </c>
      <c r="L26" s="25">
        <f t="shared" si="5"/>
        <v>1</v>
      </c>
      <c r="M26" s="24" t="str">
        <f t="shared" si="6"/>
        <v>CUMPLE</v>
      </c>
      <c r="N26" s="27"/>
    </row>
    <row r="27" ht="19.5" customHeight="1">
      <c r="A27" s="16"/>
      <c r="B27" s="34" t="s">
        <v>195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2"/>
    </row>
    <row r="28" ht="15.75" customHeight="1">
      <c r="A28" s="22" t="s">
        <v>201</v>
      </c>
      <c r="B28" s="23" t="s">
        <v>168</v>
      </c>
      <c r="C28" s="22" t="s">
        <v>53</v>
      </c>
      <c r="D28" s="22" t="s">
        <v>53</v>
      </c>
      <c r="E28" s="22" t="s">
        <v>53</v>
      </c>
      <c r="F28" s="22" t="s">
        <v>53</v>
      </c>
      <c r="G28" s="22" t="s">
        <v>53</v>
      </c>
      <c r="H28" s="22" t="s">
        <v>53</v>
      </c>
      <c r="I28" s="22" t="s">
        <v>53</v>
      </c>
      <c r="J28" s="22" t="s">
        <v>53</v>
      </c>
      <c r="K28" s="22" t="s">
        <v>53</v>
      </c>
      <c r="L28" s="25">
        <f t="shared" ref="L28:L31" si="7">IF(COUNTA(C28:J28)=0,"",(COUNTIF(C28:J28,"✓")+COUNTIF(C28:J28,"⚠")*0.5)/8)</f>
        <v>1</v>
      </c>
      <c r="M28" s="24" t="str">
        <f t="shared" ref="M28:M31" si="8">IF(L28="","",IF(L28&gt;=0.9,"CUMPLE",IF(L28&gt;=0.6,"CUMPLE PARCIAL","NO CUMPLE")))</f>
        <v>CUMPLE</v>
      </c>
      <c r="N28" s="27"/>
    </row>
    <row r="29" ht="15.75" customHeight="1">
      <c r="A29" s="22" t="s">
        <v>215</v>
      </c>
      <c r="B29" s="23" t="s">
        <v>176</v>
      </c>
      <c r="C29" s="22" t="s">
        <v>53</v>
      </c>
      <c r="D29" s="22" t="s">
        <v>53</v>
      </c>
      <c r="E29" s="22" t="s">
        <v>53</v>
      </c>
      <c r="F29" s="22" t="s">
        <v>53</v>
      </c>
      <c r="G29" s="22" t="s">
        <v>53</v>
      </c>
      <c r="H29" s="22" t="s">
        <v>53</v>
      </c>
      <c r="I29" s="22" t="s">
        <v>53</v>
      </c>
      <c r="J29" s="22" t="s">
        <v>53</v>
      </c>
      <c r="K29" s="22" t="s">
        <v>53</v>
      </c>
      <c r="L29" s="25">
        <f t="shared" si="7"/>
        <v>1</v>
      </c>
      <c r="M29" s="24" t="str">
        <f t="shared" si="8"/>
        <v>CUMPLE</v>
      </c>
      <c r="N29" s="27"/>
    </row>
    <row r="30" ht="15.75" customHeight="1">
      <c r="A30" s="22" t="s">
        <v>218</v>
      </c>
      <c r="B30" s="23" t="s">
        <v>180</v>
      </c>
      <c r="C30" s="22" t="s">
        <v>53</v>
      </c>
      <c r="D30" s="22" t="s">
        <v>53</v>
      </c>
      <c r="E30" s="22" t="s">
        <v>53</v>
      </c>
      <c r="F30" s="22" t="s">
        <v>53</v>
      </c>
      <c r="G30" s="22" t="s">
        <v>53</v>
      </c>
      <c r="H30" s="22" t="s">
        <v>53</v>
      </c>
      <c r="I30" s="22" t="s">
        <v>53</v>
      </c>
      <c r="J30" s="22" t="s">
        <v>53</v>
      </c>
      <c r="K30" s="22" t="s">
        <v>53</v>
      </c>
      <c r="L30" s="25">
        <f t="shared" si="7"/>
        <v>1</v>
      </c>
      <c r="M30" s="24" t="str">
        <f t="shared" si="8"/>
        <v>CUMPLE</v>
      </c>
      <c r="N30" s="27"/>
    </row>
    <row r="31" ht="15.75" customHeight="1">
      <c r="A31" s="22" t="s">
        <v>222</v>
      </c>
      <c r="B31" s="23" t="s">
        <v>185</v>
      </c>
      <c r="C31" s="22" t="s">
        <v>53</v>
      </c>
      <c r="D31" s="22" t="s">
        <v>53</v>
      </c>
      <c r="E31" s="22" t="s">
        <v>53</v>
      </c>
      <c r="F31" s="22" t="s">
        <v>53</v>
      </c>
      <c r="G31" s="22" t="s">
        <v>53</v>
      </c>
      <c r="H31" s="22" t="s">
        <v>53</v>
      </c>
      <c r="I31" s="22" t="s">
        <v>53</v>
      </c>
      <c r="J31" s="22" t="s">
        <v>53</v>
      </c>
      <c r="K31" s="22" t="s">
        <v>53</v>
      </c>
      <c r="L31" s="25">
        <f t="shared" si="7"/>
        <v>1</v>
      </c>
      <c r="M31" s="24" t="str">
        <f t="shared" si="8"/>
        <v>CUMPLE</v>
      </c>
      <c r="N31" s="27"/>
    </row>
    <row r="32" ht="15.75" customHeight="1">
      <c r="A32" s="16"/>
      <c r="B32" s="16" t="s">
        <v>227</v>
      </c>
      <c r="C32" s="44"/>
    </row>
    <row r="33" ht="15.75" customHeight="1">
      <c r="A33" s="22" t="s">
        <v>228</v>
      </c>
      <c r="B33" s="23" t="s">
        <v>229</v>
      </c>
      <c r="C33" s="22" t="s">
        <v>53</v>
      </c>
      <c r="D33" s="22" t="s">
        <v>53</v>
      </c>
      <c r="E33" s="22" t="s">
        <v>53</v>
      </c>
      <c r="F33" s="22" t="s">
        <v>53</v>
      </c>
      <c r="G33" s="22" t="s">
        <v>53</v>
      </c>
      <c r="H33" s="22" t="s">
        <v>53</v>
      </c>
      <c r="I33" s="22" t="s">
        <v>53</v>
      </c>
      <c r="J33" s="22" t="s">
        <v>53</v>
      </c>
      <c r="K33" s="22" t="s">
        <v>53</v>
      </c>
      <c r="L33" s="25">
        <f>IF(COUNTA(C33:J33)=0,"",(COUNTIF(C33:J33,"✓")+COUNTIF(C33:J33,"⚠")*0.5)/8)</f>
        <v>1</v>
      </c>
      <c r="M33" s="24" t="str">
        <f>IF(L33="","",IF(L33&gt;=0.9,"CUMPLE",IF(L33&gt;=0.6,"CUMPLE PARCIAL","NO CUMPLE")))</f>
        <v>CUMPLE</v>
      </c>
      <c r="N33" s="27"/>
    </row>
    <row r="34" ht="15.75" customHeight="1">
      <c r="A34" s="22" t="s">
        <v>242</v>
      </c>
      <c r="B34" s="23" t="s">
        <v>198</v>
      </c>
      <c r="C34" s="22" t="s">
        <v>53</v>
      </c>
      <c r="D34" s="22" t="s">
        <v>53</v>
      </c>
      <c r="E34" s="22" t="s">
        <v>53</v>
      </c>
      <c r="F34" s="22" t="s">
        <v>53</v>
      </c>
      <c r="G34" s="22" t="s">
        <v>53</v>
      </c>
      <c r="H34" s="22" t="s">
        <v>53</v>
      </c>
      <c r="I34" s="22" t="s">
        <v>53</v>
      </c>
      <c r="J34" s="22" t="s">
        <v>53</v>
      </c>
      <c r="K34" s="22" t="s">
        <v>53</v>
      </c>
      <c r="L34" s="25"/>
      <c r="M34" s="24"/>
      <c r="N34" s="27"/>
    </row>
    <row r="35" ht="15.75" customHeight="1">
      <c r="A35" s="22" t="s">
        <v>246</v>
      </c>
      <c r="B35" s="23" t="s">
        <v>247</v>
      </c>
      <c r="C35" s="22" t="s">
        <v>53</v>
      </c>
      <c r="D35" s="22" t="s">
        <v>53</v>
      </c>
      <c r="E35" s="22" t="s">
        <v>53</v>
      </c>
      <c r="F35" s="22" t="s">
        <v>53</v>
      </c>
      <c r="G35" s="22" t="s">
        <v>53</v>
      </c>
      <c r="H35" s="22" t="s">
        <v>53</v>
      </c>
      <c r="I35" s="22" t="s">
        <v>53</v>
      </c>
      <c r="J35" s="22" t="s">
        <v>53</v>
      </c>
      <c r="K35" s="22" t="s">
        <v>53</v>
      </c>
      <c r="L35" s="25"/>
      <c r="M35" s="24"/>
      <c r="N35" s="27"/>
    </row>
    <row r="36" ht="15.75" customHeight="1">
      <c r="A36" s="22" t="s">
        <v>249</v>
      </c>
      <c r="B36" s="23" t="s">
        <v>209</v>
      </c>
      <c r="C36" s="22" t="s">
        <v>53</v>
      </c>
      <c r="D36" s="22" t="s">
        <v>53</v>
      </c>
      <c r="E36" s="22" t="s">
        <v>53</v>
      </c>
      <c r="F36" s="22" t="s">
        <v>53</v>
      </c>
      <c r="G36" s="22" t="s">
        <v>53</v>
      </c>
      <c r="H36" s="22" t="s">
        <v>53</v>
      </c>
      <c r="I36" s="22" t="s">
        <v>53</v>
      </c>
      <c r="J36" s="22" t="s">
        <v>53</v>
      </c>
      <c r="K36" s="22" t="s">
        <v>53</v>
      </c>
      <c r="L36" s="25"/>
      <c r="M36" s="24"/>
      <c r="N36" s="27"/>
    </row>
    <row r="37" ht="15.75" customHeight="1">
      <c r="A37" s="16"/>
      <c r="B37" s="33" t="s">
        <v>102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20"/>
    </row>
    <row r="38" ht="15.75" customHeight="1">
      <c r="A38" s="22" t="s">
        <v>251</v>
      </c>
      <c r="B38" s="23" t="s">
        <v>214</v>
      </c>
      <c r="C38" s="22" t="s">
        <v>53</v>
      </c>
      <c r="D38" s="22" t="s">
        <v>53</v>
      </c>
      <c r="E38" s="22" t="s">
        <v>53</v>
      </c>
      <c r="F38" s="22" t="s">
        <v>53</v>
      </c>
      <c r="G38" s="22" t="s">
        <v>53</v>
      </c>
      <c r="H38" s="22" t="s">
        <v>53</v>
      </c>
      <c r="I38" s="22" t="s">
        <v>53</v>
      </c>
      <c r="J38" s="22" t="s">
        <v>53</v>
      </c>
      <c r="K38" s="22" t="s">
        <v>53</v>
      </c>
      <c r="L38" s="25">
        <f t="shared" ref="L38:L39" si="9">IF(COUNTA(C38:J38)=0,"",(COUNTIF(C38:J38,"✓")+COUNTIF(C38:J38,"⚠")*0.5)/8)</f>
        <v>1</v>
      </c>
      <c r="M38" s="24" t="str">
        <f t="shared" ref="M38:M39" si="10">IF(L38="","",IF(L38&gt;=0.9,"CUMPLE",IF(L38&gt;=0.6,"CUMPLE PARCIAL","NO CUMPLE")))</f>
        <v>CUMPLE</v>
      </c>
      <c r="N38" s="27"/>
    </row>
    <row r="39" ht="15.75" customHeight="1">
      <c r="A39" s="22" t="s">
        <v>256</v>
      </c>
      <c r="B39" s="23" t="s">
        <v>221</v>
      </c>
      <c r="C39" s="22" t="s">
        <v>53</v>
      </c>
      <c r="D39" s="22" t="s">
        <v>53</v>
      </c>
      <c r="E39" s="22" t="s">
        <v>53</v>
      </c>
      <c r="F39" s="22" t="s">
        <v>53</v>
      </c>
      <c r="G39" s="22" t="s">
        <v>53</v>
      </c>
      <c r="H39" s="22" t="s">
        <v>53</v>
      </c>
      <c r="I39" s="22" t="s">
        <v>53</v>
      </c>
      <c r="J39" s="22" t="s">
        <v>53</v>
      </c>
      <c r="K39" s="22" t="s">
        <v>53</v>
      </c>
      <c r="L39" s="25">
        <f t="shared" si="9"/>
        <v>1</v>
      </c>
      <c r="M39" s="24" t="str">
        <f t="shared" si="10"/>
        <v>CUMPLE</v>
      </c>
      <c r="N39" s="27"/>
    </row>
    <row r="40" ht="15.75" customHeight="1">
      <c r="A40" s="16"/>
      <c r="B40" s="33" t="s">
        <v>109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20"/>
    </row>
    <row r="41" ht="15.75" customHeight="1">
      <c r="A41" s="22" t="s">
        <v>258</v>
      </c>
      <c r="B41" s="23" t="s">
        <v>226</v>
      </c>
      <c r="C41" s="22" t="s">
        <v>53</v>
      </c>
      <c r="D41" s="22" t="s">
        <v>53</v>
      </c>
      <c r="E41" s="22" t="s">
        <v>53</v>
      </c>
      <c r="F41" s="22" t="s">
        <v>53</v>
      </c>
      <c r="G41" s="22" t="s">
        <v>53</v>
      </c>
      <c r="H41" s="22" t="s">
        <v>53</v>
      </c>
      <c r="I41" s="22" t="s">
        <v>53</v>
      </c>
      <c r="J41" s="22" t="s">
        <v>53</v>
      </c>
      <c r="K41" s="22" t="s">
        <v>53</v>
      </c>
      <c r="L41" s="25">
        <f t="shared" ref="L41:L44" si="11">IF(COUNTA(C41:J41)=0,"",(COUNTIF(C41:J41,"✓")+COUNTIF(C41:J41,"⚠")*0.5)/8)</f>
        <v>1</v>
      </c>
      <c r="M41" s="24" t="str">
        <f t="shared" ref="M41:M44" si="12">IF(L41="","",IF(L41&gt;=0.9,"CUMPLE",IF(L41&gt;=0.6,"CUMPLE PARCIAL","NO CUMPLE")))</f>
        <v>CUMPLE</v>
      </c>
      <c r="N41" s="27"/>
    </row>
    <row r="42" ht="15.75" customHeight="1">
      <c r="A42" s="22" t="s">
        <v>260</v>
      </c>
      <c r="B42" s="23" t="s">
        <v>234</v>
      </c>
      <c r="C42" s="22" t="s">
        <v>53</v>
      </c>
      <c r="D42" s="22" t="s">
        <v>53</v>
      </c>
      <c r="E42" s="22" t="s">
        <v>53</v>
      </c>
      <c r="F42" s="22" t="s">
        <v>53</v>
      </c>
      <c r="G42" s="22" t="s">
        <v>53</v>
      </c>
      <c r="H42" s="22" t="s">
        <v>53</v>
      </c>
      <c r="I42" s="22" t="s">
        <v>53</v>
      </c>
      <c r="J42" s="22" t="s">
        <v>53</v>
      </c>
      <c r="K42" s="22" t="s">
        <v>53</v>
      </c>
      <c r="L42" s="25">
        <f t="shared" si="11"/>
        <v>1</v>
      </c>
      <c r="M42" s="24" t="str">
        <f t="shared" si="12"/>
        <v>CUMPLE</v>
      </c>
      <c r="N42" s="27"/>
    </row>
    <row r="43" ht="15.75" customHeight="1">
      <c r="A43" s="22" t="s">
        <v>262</v>
      </c>
      <c r="B43" s="23" t="s">
        <v>237</v>
      </c>
      <c r="C43" s="22" t="s">
        <v>53</v>
      </c>
      <c r="D43" s="22" t="s">
        <v>53</v>
      </c>
      <c r="E43" s="22" t="s">
        <v>53</v>
      </c>
      <c r="F43" s="22" t="s">
        <v>53</v>
      </c>
      <c r="G43" s="22" t="s">
        <v>53</v>
      </c>
      <c r="H43" s="22" t="s">
        <v>53</v>
      </c>
      <c r="I43" s="22" t="s">
        <v>53</v>
      </c>
      <c r="J43" s="22" t="s">
        <v>53</v>
      </c>
      <c r="K43" s="22" t="s">
        <v>53</v>
      </c>
      <c r="L43" s="25">
        <f t="shared" si="11"/>
        <v>1</v>
      </c>
      <c r="M43" s="24" t="str">
        <f t="shared" si="12"/>
        <v>CUMPLE</v>
      </c>
      <c r="N43" s="27"/>
    </row>
    <row r="44" ht="15.75" customHeight="1">
      <c r="A44" s="22" t="s">
        <v>265</v>
      </c>
      <c r="B44" s="23" t="s">
        <v>243</v>
      </c>
      <c r="C44" s="22" t="s">
        <v>53</v>
      </c>
      <c r="D44" s="22" t="s">
        <v>53</v>
      </c>
      <c r="E44" s="22" t="s">
        <v>53</v>
      </c>
      <c r="F44" s="22" t="s">
        <v>53</v>
      </c>
      <c r="G44" s="22" t="s">
        <v>53</v>
      </c>
      <c r="H44" s="22" t="s">
        <v>53</v>
      </c>
      <c r="I44" s="22" t="s">
        <v>53</v>
      </c>
      <c r="J44" s="22" t="s">
        <v>53</v>
      </c>
      <c r="K44" s="22" t="s">
        <v>53</v>
      </c>
      <c r="L44" s="25">
        <f t="shared" si="11"/>
        <v>1</v>
      </c>
      <c r="M44" s="24" t="str">
        <f t="shared" si="12"/>
        <v>CUMPLE</v>
      </c>
      <c r="N44" s="27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6">
    <mergeCell ref="A1:N1"/>
    <mergeCell ref="B3:N3"/>
    <mergeCell ref="B13:N13"/>
    <mergeCell ref="B18:N18"/>
    <mergeCell ref="B37:N37"/>
    <mergeCell ref="B40:N40"/>
  </mergeCells>
  <conditionalFormatting sqref="B4:K12 B14:K17 C19:K26 C28:K31 C33:K36 C38:K39 C41:K44">
    <cfRule type="cellIs" dxfId="0" priority="1" operator="equal">
      <formula>"✓"</formula>
    </cfRule>
  </conditionalFormatting>
  <conditionalFormatting sqref="B4:K12 B14:K17 C19:K26 C28:K31 C33:K36 C38:K39 C41:K44">
    <cfRule type="cellIs" dxfId="1" priority="2" operator="equal">
      <formula>"✗"</formula>
    </cfRule>
  </conditionalFormatting>
  <conditionalFormatting sqref="B4:K12 B14:K17 C19:K26 C28:K31 C33:K36 C38:K39 C41:K44">
    <cfRule type="cellIs" dxfId="2" priority="3" operator="equal">
      <formula>"⚠"</formula>
    </cfRule>
  </conditionalFormatting>
  <conditionalFormatting sqref="M4:M12 M14:M17 M19:M26 M28:M31 M33:M36 M38:M39 M41:M44">
    <cfRule type="cellIs" dxfId="0" priority="4" operator="equal">
      <formula>"CUMPLE"</formula>
    </cfRule>
  </conditionalFormatting>
  <conditionalFormatting sqref="M4:M12 M14:M17 M19:M26 M28:M31 M33:M36 M38:M39 M41:M44">
    <cfRule type="cellIs" dxfId="1" priority="5" operator="equal">
      <formula>"NO CUMPLE"</formula>
    </cfRule>
  </conditionalFormatting>
  <conditionalFormatting sqref="M4:M12 M14:M17 M19:M26 M28:M31 M33:M36 M38:M39 M41:M44">
    <cfRule type="cellIs" dxfId="2" priority="6" operator="equal">
      <formula>"CUMPLE PARCIAL"</formula>
    </cfRule>
  </conditionalFormatting>
  <dataValidations>
    <dataValidation type="list" allowBlank="1" sqref="C4:K12 C14:K17 C19:K26 C28:K31 C33:K36 C38:K39 C41:K44">
      <formula1>"✓,✗,⚠"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71"/>
    <col customWidth="1" min="2" max="3" width="14.0"/>
    <col customWidth="1" min="4" max="4" width="16.0"/>
    <col customWidth="1" min="5" max="5" width="14.0"/>
    <col customWidth="1" min="6" max="26" width="8.71"/>
  </cols>
  <sheetData>
    <row r="1" ht="30.0" customHeight="1">
      <c r="A1" s="7" t="s">
        <v>55</v>
      </c>
      <c r="B1" s="8"/>
      <c r="C1" s="8"/>
      <c r="D1" s="8"/>
      <c r="E1" s="10"/>
    </row>
    <row r="3" ht="19.5" customHeight="1">
      <c r="A3" s="12" t="s">
        <v>56</v>
      </c>
      <c r="B3" s="12" t="s">
        <v>57</v>
      </c>
      <c r="C3" s="12" t="s">
        <v>58</v>
      </c>
      <c r="D3" s="12" t="s">
        <v>59</v>
      </c>
      <c r="E3" s="12" t="s">
        <v>60</v>
      </c>
    </row>
    <row r="4">
      <c r="A4" s="26" t="s">
        <v>61</v>
      </c>
      <c r="B4" s="22">
        <v>36.0</v>
      </c>
      <c r="C4" s="24">
        <f>COUNTIF('Checklist RF'!P4:P45,"CUMPLE")</f>
        <v>36</v>
      </c>
      <c r="D4" s="24">
        <f>COUNTIF('Checklist RF'!P4:P45,"CUMPLE PARCIAL")</f>
        <v>0</v>
      </c>
      <c r="E4" s="24">
        <f>COUNTIF('Checklist RF'!P4:P45,"NO CUMPLE")</f>
        <v>0</v>
      </c>
    </row>
    <row r="5">
      <c r="A5" s="28" t="s">
        <v>69</v>
      </c>
      <c r="B5" s="22">
        <v>35.0</v>
      </c>
      <c r="C5" s="24">
        <f>COUNTIF('Checklist CU'!L4:L44,"CUMPLE")</f>
        <v>33</v>
      </c>
      <c r="D5" s="24">
        <f>COUNTIF('Checklist CU'!L4:L44,"CUMPLE PARCIAL")</f>
        <v>2</v>
      </c>
      <c r="E5" s="24">
        <f>COUNTIF('Checklist CU'!L4:L44,"NO CUMPLE")</f>
        <v>0</v>
      </c>
    </row>
    <row r="6">
      <c r="A6" s="26" t="s">
        <v>75</v>
      </c>
      <c r="B6" s="22">
        <v>35.0</v>
      </c>
      <c r="C6" s="24">
        <f>COUNTIF('Checklist HU'!M3:M50,"CUMPLE")</f>
        <v>29</v>
      </c>
      <c r="D6" s="24">
        <f>COUNTIF('Checklist HU'!M3:M50,"CUMPLE PARCIAL")</f>
        <v>3</v>
      </c>
      <c r="E6" s="24">
        <f>COUNTIF('Checklist HU'!M3:M50,"NO CUMPLE")</f>
        <v>0</v>
      </c>
    </row>
    <row r="8" ht="30.0" customHeight="1">
      <c r="A8" s="29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8:E8"/>
  </mergeCells>
  <printOptions/>
  <pageMargins bottom="1.0" footer="0.0" header="0.0" left="0.75" right="0.75" top="1.0"/>
  <pageSetup paperSize="9" orientation="portrait"/>
  <drawing r:id="rId1"/>
</worksheet>
</file>